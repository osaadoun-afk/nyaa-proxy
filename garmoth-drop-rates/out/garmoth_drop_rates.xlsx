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s" sheetId="1" state="visible" r:id="rId1"/>
    <sheet xmlns:r="http://schemas.openxmlformats.org/officeDocument/2006/relationships" name="Drop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'Spots'!$A$1:$M$96</definedName>
    <definedName name="_xlnm._FilterDatabase" localSheetId="1" hidden="1">'Drops'!$A$1:$N$1601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spot_id</t>
        </is>
      </c>
      <c r="B1" s="1" t="inlineStr">
        <is>
          <t>spot</t>
        </is>
      </c>
      <c r="C1" s="1" t="inlineStr">
        <is>
          <t>zone</t>
        </is>
      </c>
      <c r="D1" s="1" t="inlineStr">
        <is>
          <t>ap</t>
        </is>
      </c>
      <c r="E1" s="1" t="inlineStr">
        <is>
          <t>dp</t>
        </is>
      </c>
      <c r="F1" s="1" t="inlineStr">
        <is>
          <t>sessions</t>
        </is>
      </c>
      <c r="G1" s="1" t="inlineStr">
        <is>
          <t>hours</t>
        </is>
      </c>
      <c r="H1" s="1" t="inlineStr">
        <is>
          <t>weeks</t>
        </is>
      </c>
      <c r="I1" s="1" t="inlineStr">
        <is>
          <t>trash_item</t>
        </is>
      </c>
      <c r="J1" s="1" t="inlineStr">
        <is>
          <t>base_trash_hr</t>
        </is>
      </c>
      <c r="K1" s="1" t="inlineStr">
        <is>
          <t>trash_per_kill (EDIT)</t>
        </is>
      </c>
      <c r="L1" s="1" t="inlineStr">
        <is>
          <t>est_kills_hr</t>
        </is>
      </c>
      <c r="M1" s="1" t="inlineStr">
        <is>
          <t>flag</t>
        </is>
      </c>
    </row>
    <row r="2">
      <c r="A2" t="n">
        <v>1</v>
      </c>
      <c r="B2" t="inlineStr">
        <is>
          <t>(OLD) Sycraia (Lower)</t>
        </is>
      </c>
      <c r="C2" t="inlineStr">
        <is>
          <t>balenos</t>
        </is>
      </c>
      <c r="D2" t="inlineStr">
        <is>
          <t>240</t>
        </is>
      </c>
      <c r="E2" t="inlineStr">
        <is>
          <t>330</t>
        </is>
      </c>
      <c r="F2" t="n">
        <v>66</v>
      </c>
      <c r="G2" t="n">
        <v>78.2</v>
      </c>
      <c r="H2" t="n">
        <v>25</v>
      </c>
      <c r="I2" t="inlineStr">
        <is>
          <t>Underwater Ancient Weapon Power Stone</t>
        </is>
      </c>
      <c r="J2" t="n">
        <v>4135.6</v>
      </c>
      <c r="K2" s="2" t="n"/>
      <c r="L2">
        <f>IF(K2="","",J2/K2)</f>
        <v/>
      </c>
      <c r="M2" t="inlineStr"/>
    </row>
    <row r="3">
      <c r="A3" t="n">
        <v>32</v>
      </c>
      <c r="B3" t="inlineStr">
        <is>
          <t>(OLD) Sycraia (Upper)</t>
        </is>
      </c>
      <c r="C3" t="inlineStr">
        <is>
          <t>balenos</t>
        </is>
      </c>
      <c r="D3" t="inlineStr">
        <is>
          <t>200</t>
        </is>
      </c>
      <c r="E3" t="inlineStr">
        <is>
          <t>260</t>
        </is>
      </c>
      <c r="F3" t="n">
        <v>168</v>
      </c>
      <c r="G3" t="n">
        <v>357.2</v>
      </c>
      <c r="H3" t="n">
        <v>23</v>
      </c>
      <c r="I3" t="inlineStr">
        <is>
          <t>Destroyed Ancient Weapon Power Stone</t>
        </is>
      </c>
      <c r="J3" t="n">
        <v>16396</v>
      </c>
      <c r="K3" s="2" t="n"/>
      <c r="L3">
        <f>IF(K3="","",J3/K3)</f>
        <v/>
      </c>
      <c r="M3" t="inlineStr"/>
    </row>
    <row r="4">
      <c r="A4" t="n">
        <v>6</v>
      </c>
      <c r="B4" t="inlineStr">
        <is>
          <t>Aakman Temple</t>
        </is>
      </c>
      <c r="C4" t="inlineStr">
        <is>
          <t>valencia</t>
        </is>
      </c>
      <c r="D4" t="inlineStr">
        <is>
          <t>230</t>
        </is>
      </c>
      <c r="E4" t="inlineStr">
        <is>
          <t>300</t>
        </is>
      </c>
      <c r="F4" t="n">
        <v>62</v>
      </c>
      <c r="G4" t="n">
        <v>68</v>
      </c>
      <c r="H4" t="n">
        <v>28</v>
      </c>
      <c r="I4" t="inlineStr">
        <is>
          <t>Aakman Guardian's Token</t>
        </is>
      </c>
      <c r="J4" t="n">
        <v>7885.3</v>
      </c>
      <c r="K4" s="2" t="n"/>
      <c r="L4">
        <f>IF(K4="","",J4/K4)</f>
        <v/>
      </c>
      <c r="M4" t="inlineStr"/>
    </row>
    <row r="5">
      <c r="A5" t="n">
        <v>11</v>
      </c>
      <c r="B5" t="inlineStr">
        <is>
          <t>Abandoned Monastery</t>
        </is>
      </c>
      <c r="C5" t="inlineStr">
        <is>
          <t>calpheon</t>
        </is>
      </c>
      <c r="D5" t="inlineStr">
        <is>
          <t>260</t>
        </is>
      </c>
      <c r="E5" t="inlineStr">
        <is>
          <t>350</t>
        </is>
      </c>
      <c r="F5" t="n">
        <v>10</v>
      </c>
      <c r="G5" t="n">
        <v>17.5</v>
      </c>
      <c r="H5" t="n">
        <v>8</v>
      </c>
      <c r="I5" t="inlineStr">
        <is>
          <t>Shadow Knight's Armor Ornament</t>
        </is>
      </c>
      <c r="J5" t="n">
        <v>4502.8</v>
      </c>
      <c r="K5" s="2" t="n"/>
      <c r="L5">
        <f>IF(K5="","",J5/K5)</f>
        <v/>
      </c>
      <c r="M5" t="inlineStr">
        <is>
          <t>low sample</t>
        </is>
      </c>
    </row>
    <row r="6">
      <c r="A6" t="n">
        <v>183</v>
      </c>
      <c r="B6" t="inlineStr">
        <is>
          <t>Aetherion Castle</t>
        </is>
      </c>
      <c r="C6" t="inlineStr">
        <is>
          <t>edania</t>
        </is>
      </c>
      <c r="D6" t="inlineStr">
        <is>
          <t>350</t>
        </is>
      </c>
      <c r="E6" t="inlineStr">
        <is>
          <t>427</t>
        </is>
      </c>
      <c r="F6" t="n">
        <v>24341</v>
      </c>
      <c r="G6" t="n">
        <v>28593.7</v>
      </c>
      <c r="H6" t="n">
        <v>53</v>
      </c>
      <c r="I6" t="inlineStr">
        <is>
          <t>Chilled Soul Piece</t>
        </is>
      </c>
      <c r="J6" t="n">
        <v>5688.5</v>
      </c>
      <c r="K6" s="2" t="n"/>
      <c r="L6">
        <f>IF(K6="","",J6/K6)</f>
        <v/>
      </c>
      <c r="M6" t="inlineStr"/>
    </row>
    <row r="7">
      <c r="A7" t="n">
        <v>13</v>
      </c>
      <c r="B7" t="inlineStr">
        <is>
          <t>Altar Imp Habitat</t>
        </is>
      </c>
      <c r="C7" t="inlineStr">
        <is>
          <t>serendia</t>
        </is>
      </c>
      <c r="D7" t="inlineStr">
        <is>
          <t>220</t>
        </is>
      </c>
      <c r="E7" t="inlineStr">
        <is>
          <t>310</t>
        </is>
      </c>
      <c r="F7" t="n">
        <v>114</v>
      </c>
      <c r="G7" t="n">
        <v>144.7</v>
      </c>
      <c r="H7" t="n">
        <v>35</v>
      </c>
      <c r="I7" t="inlineStr">
        <is>
          <t>Covetous Eye</t>
        </is>
      </c>
      <c r="J7" t="n">
        <v>5808.8</v>
      </c>
      <c r="K7" s="2" t="n"/>
      <c r="L7">
        <f>IF(K7="","",J7/K7)</f>
        <v/>
      </c>
      <c r="M7" t="inlineStr"/>
    </row>
    <row r="8">
      <c r="A8" t="n">
        <v>213</v>
      </c>
      <c r="B8" t="inlineStr">
        <is>
          <t>Aphrodon Temple</t>
        </is>
      </c>
      <c r="C8" t="inlineStr">
        <is>
          <t>edania</t>
        </is>
      </c>
      <c r="D8" t="inlineStr">
        <is>
          <t>400</t>
        </is>
      </c>
      <c r="E8" t="inlineStr">
        <is>
          <t>470</t>
        </is>
      </c>
      <c r="F8" t="n">
        <v>20253</v>
      </c>
      <c r="G8" t="n">
        <v>28606.4</v>
      </c>
      <c r="H8" t="n">
        <v>5</v>
      </c>
      <c r="I8" t="inlineStr">
        <is>
          <t>Branch of Abundance</t>
        </is>
      </c>
      <c r="J8" t="n">
        <v>6196.8</v>
      </c>
      <c r="K8" s="2" t="n"/>
      <c r="L8">
        <f>IF(K8="","",J8/K8)</f>
        <v/>
      </c>
      <c r="M8" t="inlineStr"/>
    </row>
    <row r="9">
      <c r="A9" t="n">
        <v>216</v>
      </c>
      <c r="B9" t="inlineStr">
        <is>
          <t>Aresion Temple</t>
        </is>
      </c>
      <c r="C9" t="inlineStr">
        <is>
          <t>edania</t>
        </is>
      </c>
      <c r="D9" t="inlineStr">
        <is>
          <t>415</t>
        </is>
      </c>
      <c r="E9" t="inlineStr">
        <is>
          <t>495</t>
        </is>
      </c>
      <c r="F9" t="n">
        <v>12087</v>
      </c>
      <c r="G9" t="n">
        <v>19638</v>
      </c>
      <c r="H9" t="n">
        <v>5</v>
      </c>
      <c r="I9" t="inlineStr">
        <is>
          <t>Scorched Belt Ornament</t>
        </is>
      </c>
      <c r="J9" t="n">
        <v>6429.9</v>
      </c>
      <c r="K9" s="2" t="n"/>
      <c r="L9">
        <f>IF(K9="","",J9/K9)</f>
        <v/>
      </c>
      <c r="M9" t="inlineStr"/>
    </row>
    <row r="10">
      <c r="A10" t="n">
        <v>27</v>
      </c>
      <c r="B10" t="inlineStr">
        <is>
          <t>Ash Forest</t>
        </is>
      </c>
      <c r="C10" t="inlineStr">
        <is>
          <t>kamasylvia</t>
        </is>
      </c>
      <c r="D10" t="inlineStr">
        <is>
          <t>300</t>
        </is>
      </c>
      <c r="E10" t="inlineStr">
        <is>
          <t>390</t>
        </is>
      </c>
      <c r="F10" t="n">
        <v>465</v>
      </c>
      <c r="G10" t="n">
        <v>548.2</v>
      </c>
      <c r="H10" t="n">
        <v>48</v>
      </c>
      <c r="I10" t="inlineStr">
        <is>
          <t>Specter's Cloth</t>
        </is>
      </c>
      <c r="J10" t="n">
        <v>9462.9</v>
      </c>
      <c r="K10" s="2" t="n"/>
      <c r="L10">
        <f>IF(K10="","",J10/K10)</f>
        <v/>
      </c>
      <c r="M10" t="inlineStr"/>
    </row>
    <row r="11">
      <c r="A11" t="n">
        <v>84</v>
      </c>
      <c r="B11" t="inlineStr">
        <is>
          <t>Bashim Base</t>
        </is>
      </c>
      <c r="C11" t="inlineStr">
        <is>
          <t>valencia</t>
        </is>
      </c>
      <c r="D11" t="inlineStr">
        <is>
          <t>100</t>
        </is>
      </c>
      <c r="E11" t="inlineStr">
        <is>
          <t>180</t>
        </is>
      </c>
      <c r="F11" t="n">
        <v>15</v>
      </c>
      <c r="G11" t="n">
        <v>13.1</v>
      </c>
      <c r="H11" t="n">
        <v>9</v>
      </c>
      <c r="I11" t="inlineStr">
        <is>
          <t>Bashim Mane</t>
        </is>
      </c>
      <c r="J11" t="n">
        <v>5383.6</v>
      </c>
      <c r="K11" s="2" t="n"/>
      <c r="L11">
        <f>IF(K11="","",J11/K11)</f>
        <v/>
      </c>
      <c r="M11" t="inlineStr">
        <is>
          <t>low sample</t>
        </is>
      </c>
    </row>
    <row r="12">
      <c r="A12" t="n">
        <v>89</v>
      </c>
      <c r="B12" t="inlineStr">
        <is>
          <t>Basilisk Den</t>
        </is>
      </c>
      <c r="C12" t="inlineStr">
        <is>
          <t>valencia</t>
        </is>
      </c>
      <c r="D12" t="inlineStr">
        <is>
          <t>180</t>
        </is>
      </c>
      <c r="E12" t="inlineStr">
        <is>
          <t>220</t>
        </is>
      </c>
      <c r="F12" t="n">
        <v>9</v>
      </c>
      <c r="G12" t="n">
        <v>14.7</v>
      </c>
      <c r="H12" t="n">
        <v>5</v>
      </c>
      <c r="I12" t="inlineStr">
        <is>
          <t>Basilisk Scale</t>
        </is>
      </c>
      <c r="J12" t="n">
        <v>5668</v>
      </c>
      <c r="K12" s="2" t="n"/>
      <c r="L12">
        <f>IF(K12="","",J12/K12)</f>
        <v/>
      </c>
      <c r="M12" t="inlineStr">
        <is>
          <t>low sample</t>
        </is>
      </c>
    </row>
    <row r="13">
      <c r="A13" t="n">
        <v>12</v>
      </c>
      <c r="B13" t="inlineStr">
        <is>
          <t>Biraghi Den</t>
        </is>
      </c>
      <c r="C13" t="inlineStr">
        <is>
          <t>serendia</t>
        </is>
      </c>
      <c r="D13" t="inlineStr">
        <is>
          <t>220</t>
        </is>
      </c>
      <c r="E13" t="inlineStr">
        <is>
          <t>310</t>
        </is>
      </c>
      <c r="F13" t="n">
        <v>129</v>
      </c>
      <c r="G13" t="n">
        <v>159.1</v>
      </c>
      <c r="H13" t="n">
        <v>39</v>
      </c>
      <c r="I13" t="inlineStr">
        <is>
          <t>Proof of Reckless Courage</t>
        </is>
      </c>
      <c r="J13" t="n">
        <v>6695.3</v>
      </c>
      <c r="K13" s="2" t="n"/>
      <c r="L13">
        <f>IF(K13="","",J13/K13)</f>
        <v/>
      </c>
      <c r="M13" t="inlineStr"/>
    </row>
    <row r="14">
      <c r="A14" t="n">
        <v>22</v>
      </c>
      <c r="B14" t="inlineStr">
        <is>
          <t>Blood Wolf Settlement</t>
        </is>
      </c>
      <c r="C14" t="inlineStr">
        <is>
          <t>drieghan</t>
        </is>
      </c>
      <c r="D14" t="inlineStr">
        <is>
          <t>180</t>
        </is>
      </c>
      <c r="E14" t="inlineStr">
        <is>
          <t>210</t>
        </is>
      </c>
      <c r="F14" t="n">
        <v>306</v>
      </c>
      <c r="G14" t="n">
        <v>328.7</v>
      </c>
      <c r="H14" t="n">
        <v>52</v>
      </c>
      <c r="I14" t="inlineStr">
        <is>
          <t>Blood Wolf Mane</t>
        </is>
      </c>
      <c r="J14" t="n">
        <v>5007.6</v>
      </c>
      <c r="K14" s="2" t="n"/>
      <c r="L14">
        <f>IF(K14="","",J14/K14)</f>
        <v/>
      </c>
      <c r="M14" t="inlineStr"/>
    </row>
    <row r="15">
      <c r="A15" t="n">
        <v>18</v>
      </c>
      <c r="B15" t="inlineStr">
        <is>
          <t>Bloody Monastery</t>
        </is>
      </c>
      <c r="C15" t="inlineStr">
        <is>
          <t>serendia</t>
        </is>
      </c>
      <c r="D15" t="inlineStr">
        <is>
          <t>260</t>
        </is>
      </c>
      <c r="E15" t="inlineStr">
        <is>
          <t>340</t>
        </is>
      </c>
      <c r="F15" t="n">
        <v>141</v>
      </c>
      <c r="G15" t="n">
        <v>148.8</v>
      </c>
      <c r="H15" t="n">
        <v>43</v>
      </c>
      <c r="I15" t="inlineStr">
        <is>
          <t>Proof of Blind Faith</t>
        </is>
      </c>
      <c r="J15" t="n">
        <v>5865.5</v>
      </c>
      <c r="K15" s="2" t="n"/>
      <c r="L15">
        <f>IF(K15="","",J15/K15)</f>
        <v/>
      </c>
      <c r="M15" t="inlineStr"/>
    </row>
    <row r="16">
      <c r="A16" t="n">
        <v>86</v>
      </c>
      <c r="B16" t="inlineStr">
        <is>
          <t>Cadry Ruins</t>
        </is>
      </c>
      <c r="C16" t="inlineStr">
        <is>
          <t>valencia</t>
        </is>
      </c>
      <c r="D16" t="inlineStr">
        <is>
          <t>140</t>
        </is>
      </c>
      <c r="E16" t="inlineStr">
        <is>
          <t>160</t>
        </is>
      </c>
      <c r="F16" t="n">
        <v>72</v>
      </c>
      <c r="G16" t="n">
        <v>92.90000000000001</v>
      </c>
      <c r="H16" t="n">
        <v>34</v>
      </c>
      <c r="I16" t="inlineStr">
        <is>
          <t>Cadry's Token</t>
        </is>
      </c>
      <c r="J16" t="n">
        <v>4420.8</v>
      </c>
      <c r="K16" s="2" t="n"/>
      <c r="L16">
        <f>IF(K16="","",J16/K16)</f>
        <v/>
      </c>
      <c r="M16" t="inlineStr"/>
    </row>
    <row r="17">
      <c r="A17" t="n">
        <v>16</v>
      </c>
      <c r="B17" t="inlineStr">
        <is>
          <t>Castle Ruins</t>
        </is>
      </c>
      <c r="C17" t="inlineStr">
        <is>
          <t>serendia</t>
        </is>
      </c>
      <c r="D17" t="inlineStr">
        <is>
          <t>230</t>
        </is>
      </c>
      <c r="E17" t="inlineStr">
        <is>
          <t>320</t>
        </is>
      </c>
      <c r="F17" t="n">
        <v>17</v>
      </c>
      <c r="G17" t="n">
        <v>29.2</v>
      </c>
      <c r="H17" t="n">
        <v>10</v>
      </c>
      <c r="I17" t="inlineStr">
        <is>
          <t>Mark of Desperate Rebels</t>
        </is>
      </c>
      <c r="J17" t="n">
        <v>5069.4</v>
      </c>
      <c r="K17" s="2" t="n"/>
      <c r="L17">
        <f>IF(K17="","",J17/K17)</f>
        <v/>
      </c>
      <c r="M17" t="inlineStr">
        <is>
          <t>low sample</t>
        </is>
      </c>
    </row>
    <row r="18">
      <c r="A18" t="n">
        <v>90</v>
      </c>
      <c r="B18" t="inlineStr">
        <is>
          <t>Centaurus Herd</t>
        </is>
      </c>
      <c r="C18" t="inlineStr">
        <is>
          <t>valencia</t>
        </is>
      </c>
      <c r="D18" t="inlineStr">
        <is>
          <t>180</t>
        </is>
      </c>
      <c r="E18" t="inlineStr">
        <is>
          <t>200</t>
        </is>
      </c>
      <c r="F18" t="n">
        <v>54</v>
      </c>
      <c r="G18" t="n">
        <v>56</v>
      </c>
      <c r="H18" t="n">
        <v>27</v>
      </c>
      <c r="I18" t="inlineStr">
        <is>
          <t>Centaurus Mane</t>
        </is>
      </c>
      <c r="J18" t="n">
        <v>5368.2</v>
      </c>
      <c r="K18" s="2" t="n"/>
      <c r="L18">
        <f>IF(K18="","",J18/K18)</f>
        <v/>
      </c>
      <c r="M18" t="inlineStr"/>
    </row>
    <row r="19">
      <c r="A19" t="n">
        <v>147</v>
      </c>
      <c r="B19" t="inlineStr">
        <is>
          <t>City of the Dead</t>
        </is>
      </c>
      <c r="C19" t="inlineStr">
        <is>
          <t>ulukita</t>
        </is>
      </c>
      <c r="D19" t="inlineStr">
        <is>
          <t>320</t>
        </is>
      </c>
      <c r="E19" t="inlineStr">
        <is>
          <t>380</t>
        </is>
      </c>
      <c r="F19" t="n">
        <v>377</v>
      </c>
      <c r="G19" t="n">
        <v>449.1</v>
      </c>
      <c r="H19" t="n">
        <v>18</v>
      </c>
      <c r="I19" t="inlineStr">
        <is>
          <t>Mark of the Black Sands</t>
        </is>
      </c>
      <c r="J19" t="n">
        <v>9711.6</v>
      </c>
      <c r="K19" s="2" t="n"/>
      <c r="L19">
        <f>IF(K19="","",J19/K19)</f>
        <v/>
      </c>
      <c r="M19" t="inlineStr"/>
    </row>
    <row r="20">
      <c r="A20" t="n">
        <v>85</v>
      </c>
      <c r="B20" t="inlineStr">
        <is>
          <t>Crescent Shrine</t>
        </is>
      </c>
      <c r="C20" t="inlineStr">
        <is>
          <t>valencia</t>
        </is>
      </c>
      <c r="D20" t="inlineStr">
        <is>
          <t>140</t>
        </is>
      </c>
      <c r="E20" t="inlineStr">
        <is>
          <t>160</t>
        </is>
      </c>
      <c r="F20" t="n">
        <v>5</v>
      </c>
      <c r="G20" t="n">
        <v>10</v>
      </c>
      <c r="H20" t="n">
        <v>4</v>
      </c>
      <c r="I20" t="inlineStr">
        <is>
          <t>Token of Crescent</t>
        </is>
      </c>
      <c r="J20" t="n">
        <v>11172</v>
      </c>
      <c r="K20" s="2" t="n"/>
      <c r="L20">
        <f>IF(K20="","",J20/K20)</f>
        <v/>
      </c>
      <c r="M20" t="inlineStr">
        <is>
          <t>low sample</t>
        </is>
      </c>
    </row>
    <row r="21">
      <c r="A21" t="n">
        <v>8</v>
      </c>
      <c r="B21" t="inlineStr">
        <is>
          <t>Crypt of Resting Thoughts</t>
        </is>
      </c>
      <c r="C21" t="inlineStr">
        <is>
          <t>odyllita</t>
        </is>
      </c>
      <c r="D21" t="inlineStr">
        <is>
          <t>300</t>
        </is>
      </c>
      <c r="E21" t="inlineStr">
        <is>
          <t>400</t>
        </is>
      </c>
      <c r="F21" t="n">
        <v>1237</v>
      </c>
      <c r="G21" t="n">
        <v>1520.7</v>
      </c>
      <c r="H21" t="n">
        <v>53</v>
      </c>
      <c r="I21" t="inlineStr">
        <is>
          <t>Abyssal Ash</t>
        </is>
      </c>
      <c r="J21" t="n">
        <v>6186.6</v>
      </c>
      <c r="K21" s="2" t="n"/>
      <c r="L21">
        <f>IF(K21="","",J21/K21)</f>
        <v/>
      </c>
      <c r="M21" t="inlineStr"/>
    </row>
    <row r="22">
      <c r="A22" t="n">
        <v>208</v>
      </c>
      <c r="B22" t="inlineStr">
        <is>
          <t>Dark Energy Floodlands (Great Red Sea)</t>
        </is>
      </c>
      <c r="C22" t="inlineStr">
        <is>
          <t>edania</t>
        </is>
      </c>
      <c r="D22" t="inlineStr">
        <is>
          <t>385</t>
        </is>
      </c>
      <c r="E22" t="inlineStr">
        <is>
          <t>450</t>
        </is>
      </c>
      <c r="F22" t="n">
        <v>966</v>
      </c>
      <c r="G22" t="n">
        <v>1123.4</v>
      </c>
      <c r="H22" t="n">
        <v>30</v>
      </c>
      <c r="I22" t="inlineStr">
        <is>
          <t>Tainted Armor Fragment</t>
        </is>
      </c>
      <c r="J22" t="n">
        <v>7298.6</v>
      </c>
      <c r="K22" s="2" t="n"/>
      <c r="L22">
        <f>IF(K22="","",J22/K22)</f>
        <v/>
      </c>
      <c r="M22" t="inlineStr"/>
    </row>
    <row r="23">
      <c r="A23" t="n">
        <v>209</v>
      </c>
      <c r="B23" t="inlineStr">
        <is>
          <t>Dark Energy Floodlands (Orbita)</t>
        </is>
      </c>
      <c r="C23" t="inlineStr">
        <is>
          <t>edania</t>
        </is>
      </c>
      <c r="D23" t="inlineStr">
        <is>
          <t>385</t>
        </is>
      </c>
      <c r="E23" t="inlineStr">
        <is>
          <t>450</t>
        </is>
      </c>
      <c r="F23" t="n">
        <v>1426</v>
      </c>
      <c r="G23" t="n">
        <v>1635</v>
      </c>
      <c r="H23" t="n">
        <v>30</v>
      </c>
      <c r="I23" t="inlineStr">
        <is>
          <t>Tainted Armor Fragment</t>
        </is>
      </c>
      <c r="J23" t="n">
        <v>7405.3</v>
      </c>
      <c r="K23" s="2" t="n"/>
      <c r="L23">
        <f>IF(K23="","",J23/K23)</f>
        <v/>
      </c>
      <c r="M23" t="inlineStr"/>
    </row>
    <row r="24">
      <c r="A24" t="n">
        <v>210</v>
      </c>
      <c r="B24" t="inlineStr">
        <is>
          <t>Dark Energy Floodlands (Zephyros)</t>
        </is>
      </c>
      <c r="C24" t="inlineStr">
        <is>
          <t>edania</t>
        </is>
      </c>
      <c r="D24" t="inlineStr">
        <is>
          <t>385</t>
        </is>
      </c>
      <c r="E24" t="inlineStr">
        <is>
          <t>450</t>
        </is>
      </c>
      <c r="F24" t="n">
        <v>683</v>
      </c>
      <c r="G24" t="n">
        <v>848.1</v>
      </c>
      <c r="H24" t="n">
        <v>27</v>
      </c>
      <c r="I24" t="inlineStr">
        <is>
          <t>Tainted Armor Fragment</t>
        </is>
      </c>
      <c r="J24" t="n">
        <v>7736.1</v>
      </c>
      <c r="K24" s="2" t="n"/>
      <c r="L24">
        <f>IF(K24="","",J24/K24)</f>
        <v/>
      </c>
      <c r="M24" t="inlineStr"/>
    </row>
    <row r="25">
      <c r="A25" t="n">
        <v>153</v>
      </c>
      <c r="B25" t="inlineStr">
        <is>
          <t>Darkseeker's Retreat</t>
        </is>
      </c>
      <c r="C25" t="inlineStr">
        <is>
          <t>ulukita</t>
        </is>
      </c>
      <c r="D25" t="inlineStr">
        <is>
          <t>340</t>
        </is>
      </c>
      <c r="E25" t="inlineStr">
        <is>
          <t>430</t>
        </is>
      </c>
      <c r="F25" t="n">
        <v>4671</v>
      </c>
      <c r="G25" t="n">
        <v>5433.8</v>
      </c>
      <c r="H25" t="n">
        <v>7</v>
      </c>
      <c r="I25" t="inlineStr">
        <is>
          <t>Decayed Cloth</t>
        </is>
      </c>
      <c r="J25" t="n">
        <v>9928</v>
      </c>
      <c r="K25" s="2" t="n"/>
      <c r="L25">
        <f>IF(K25="","",J25/K25)</f>
        <v/>
      </c>
      <c r="M25" t="inlineStr"/>
    </row>
    <row r="26">
      <c r="A26" t="n">
        <v>82</v>
      </c>
      <c r="B26" t="inlineStr">
        <is>
          <t>Desert Naga Temple</t>
        </is>
      </c>
      <c r="C26" t="inlineStr">
        <is>
          <t>valencia</t>
        </is>
      </c>
      <c r="D26" t="inlineStr">
        <is>
          <t>100</t>
        </is>
      </c>
      <c r="E26" t="inlineStr">
        <is>
          <t>180</t>
        </is>
      </c>
      <c r="F26" t="n">
        <v>30</v>
      </c>
      <c r="G26" t="n">
        <v>37.6</v>
      </c>
      <c r="H26" t="n">
        <v>15</v>
      </c>
      <c r="I26" t="inlineStr">
        <is>
          <t>Desert Naga's Webfoot</t>
        </is>
      </c>
      <c r="J26" t="n">
        <v>3735.8</v>
      </c>
      <c r="K26" s="2" t="n"/>
      <c r="L26">
        <f>IF(K26="","",J26/K26)</f>
        <v/>
      </c>
      <c r="M26" t="inlineStr">
        <is>
          <t>low sample</t>
        </is>
      </c>
    </row>
    <row r="27">
      <c r="A27" t="n">
        <v>166</v>
      </c>
      <c r="B27" t="inlineStr">
        <is>
          <t>Dokkebi Forest</t>
        </is>
      </c>
      <c r="C27" t="inlineStr">
        <is>
          <t>morninglight</t>
        </is>
      </c>
      <c r="D27" t="inlineStr">
        <is>
          <t>335</t>
        </is>
      </c>
      <c r="E27" t="inlineStr">
        <is>
          <t>420</t>
        </is>
      </c>
      <c r="F27" t="n">
        <v>735</v>
      </c>
      <c r="G27" t="n">
        <v>939</v>
      </c>
      <c r="H27" t="n">
        <v>7</v>
      </c>
      <c r="I27" t="inlineStr">
        <is>
          <t>Discarded Kkebicap</t>
        </is>
      </c>
      <c r="J27" t="n">
        <v>8387.6</v>
      </c>
      <c r="K27" s="2" t="n"/>
      <c r="L27">
        <f>IF(K27="","",J27/K27)</f>
        <v/>
      </c>
      <c r="M27" t="inlineStr"/>
    </row>
    <row r="28">
      <c r="A28" t="n">
        <v>218</v>
      </c>
      <c r="B28" t="inlineStr">
        <is>
          <t>Event Horizon</t>
        </is>
      </c>
      <c r="C28" t="inlineStr">
        <is>
          <t>edania</t>
        </is>
      </c>
      <c r="D28" t="inlineStr">
        <is>
          <t>420</t>
        </is>
      </c>
      <c r="E28" t="inlineStr">
        <is>
          <t>505</t>
        </is>
      </c>
      <c r="F28" t="n">
        <v>12642</v>
      </c>
      <c r="G28" t="n">
        <v>22237.8</v>
      </c>
      <c r="H28" t="n">
        <v>6</v>
      </c>
      <c r="I28" t="inlineStr">
        <is>
          <t>Broken Gloves of the Void</t>
        </is>
      </c>
      <c r="J28" t="n">
        <v>6451</v>
      </c>
      <c r="K28" s="2" t="n"/>
      <c r="L28">
        <f>IF(K28="","",J28/K28)</f>
        <v/>
      </c>
      <c r="M28" t="inlineStr"/>
    </row>
    <row r="29">
      <c r="A29" t="n">
        <v>38</v>
      </c>
      <c r="B29" t="inlineStr">
        <is>
          <t>Fadus Habitat</t>
        </is>
      </c>
      <c r="C29" t="inlineStr">
        <is>
          <t>kamasylvia</t>
        </is>
      </c>
      <c r="D29" t="inlineStr">
        <is>
          <t>120</t>
        </is>
      </c>
      <c r="E29" t="inlineStr">
        <is>
          <t>180</t>
        </is>
      </c>
      <c r="F29" t="n">
        <v>42</v>
      </c>
      <c r="G29" t="n">
        <v>43.6</v>
      </c>
      <c r="H29" t="n">
        <v>25</v>
      </c>
      <c r="I29" t="inlineStr">
        <is>
          <t>Fadus Armor Fragment</t>
        </is>
      </c>
      <c r="J29" t="n">
        <v>9456.299999999999</v>
      </c>
      <c r="K29" s="2" t="n"/>
      <c r="L29">
        <f>IF(K29="","",J29/K29)</f>
        <v/>
      </c>
      <c r="M29" t="inlineStr">
        <is>
          <t>low sample</t>
        </is>
      </c>
    </row>
    <row r="30">
      <c r="A30" t="n">
        <v>26</v>
      </c>
      <c r="B30" t="inlineStr">
        <is>
          <t>Forest Ronaros Area</t>
        </is>
      </c>
      <c r="C30" t="inlineStr">
        <is>
          <t>kamasylvia</t>
        </is>
      </c>
      <c r="D30" t="inlineStr">
        <is>
          <t>240</t>
        </is>
      </c>
      <c r="E30" t="inlineStr">
        <is>
          <t>270</t>
        </is>
      </c>
      <c r="F30" t="n">
        <v>109</v>
      </c>
      <c r="G30" t="n">
        <v>105.2</v>
      </c>
      <c r="H30" t="n">
        <v>40</v>
      </c>
      <c r="I30" t="inlineStr">
        <is>
          <t>Hoof of Forest Ronaros</t>
        </is>
      </c>
      <c r="J30" t="n">
        <v>5148.5</v>
      </c>
      <c r="K30" s="2" t="n"/>
      <c r="L30">
        <f>IF(K30="","",J30/K30)</f>
        <v/>
      </c>
      <c r="M30" t="inlineStr"/>
    </row>
    <row r="31">
      <c r="A31" t="n">
        <v>167</v>
      </c>
      <c r="B31" t="inlineStr">
        <is>
          <t>Fortunate Golden Pig Cave</t>
        </is>
      </c>
      <c r="C31" t="inlineStr">
        <is>
          <t>morninglight</t>
        </is>
      </c>
      <c r="D31" t="inlineStr">
        <is>
          <t>345</t>
        </is>
      </c>
      <c r="E31" t="inlineStr">
        <is>
          <t>438</t>
        </is>
      </c>
      <c r="F31" t="n">
        <v>363</v>
      </c>
      <c r="G31" t="n">
        <v>343.9</v>
      </c>
      <c r="H31" t="n">
        <v>7</v>
      </c>
      <c r="I31" t="inlineStr">
        <is>
          <t>Shiny Treasure</t>
        </is>
      </c>
      <c r="J31" t="n">
        <v>8101.5</v>
      </c>
      <c r="K31" s="2" t="n"/>
      <c r="L31">
        <f>IF(K31="","",J31/K31)</f>
        <v/>
      </c>
      <c r="M31" t="inlineStr"/>
    </row>
    <row r="32">
      <c r="A32" t="n">
        <v>43</v>
      </c>
      <c r="B32" t="inlineStr">
        <is>
          <t>Gahaz Bandit's Lair</t>
        </is>
      </c>
      <c r="C32" t="inlineStr">
        <is>
          <t>valencia</t>
        </is>
      </c>
      <c r="D32" t="inlineStr">
        <is>
          <t>140</t>
        </is>
      </c>
      <c r="E32" t="inlineStr">
        <is>
          <t>180</t>
        </is>
      </c>
      <c r="F32" t="n">
        <v>36</v>
      </c>
      <c r="G32" t="n">
        <v>35.7</v>
      </c>
      <c r="H32" t="n">
        <v>18</v>
      </c>
      <c r="I32" t="inlineStr">
        <is>
          <t>Gahaz Seal</t>
        </is>
      </c>
      <c r="J32" t="n">
        <v>4316.1</v>
      </c>
      <c r="K32" s="2" t="n"/>
      <c r="L32">
        <f>IF(K32="","",J32/K32)</f>
        <v/>
      </c>
      <c r="M32" t="inlineStr">
        <is>
          <t>low sample</t>
        </is>
      </c>
    </row>
    <row r="33">
      <c r="A33" t="n">
        <v>212</v>
      </c>
      <c r="B33" t="inlineStr">
        <is>
          <t>Gavinya Coastal Cliff</t>
        </is>
      </c>
      <c r="C33" t="inlineStr">
        <is>
          <t>valencia</t>
        </is>
      </c>
      <c r="D33" t="inlineStr">
        <is>
          <t>400</t>
        </is>
      </c>
      <c r="E33" t="inlineStr">
        <is>
          <t>470</t>
        </is>
      </c>
      <c r="F33" t="n">
        <v>973</v>
      </c>
      <c r="G33" t="n">
        <v>1201.7</v>
      </c>
      <c r="H33" t="n">
        <v>5</v>
      </c>
      <c r="I33" t="inlineStr">
        <is>
          <t>Sulfur Golem Fragment</t>
        </is>
      </c>
      <c r="J33" t="n">
        <v>6222.2</v>
      </c>
      <c r="K33" s="2" t="n"/>
      <c r="L33">
        <f>IF(K33="","",J33/K33)</f>
        <v/>
      </c>
      <c r="M33" t="inlineStr"/>
    </row>
    <row r="34">
      <c r="A34" t="n">
        <v>33</v>
      </c>
      <c r="B34" t="inlineStr">
        <is>
          <t>Gyfin Rhasia Temple</t>
        </is>
      </c>
      <c r="C34" t="inlineStr">
        <is>
          <t>kamasylvia</t>
        </is>
      </c>
      <c r="D34" t="inlineStr">
        <is>
          <t>250</t>
        </is>
      </c>
      <c r="E34" t="inlineStr">
        <is>
          <t>320</t>
        </is>
      </c>
      <c r="F34" t="n">
        <v>14</v>
      </c>
      <c r="G34" t="n">
        <v>16.5</v>
      </c>
      <c r="H34" t="n">
        <v>14</v>
      </c>
      <c r="I34" t="inlineStr">
        <is>
          <t>Fragment of Bronze Artifact</t>
        </is>
      </c>
      <c r="J34" t="n">
        <v>8901.200000000001</v>
      </c>
      <c r="K34" s="2" t="n"/>
      <c r="L34">
        <f>IF(K34="","",J34/K34)</f>
        <v/>
      </c>
      <c r="M34" t="inlineStr">
        <is>
          <t>low sample</t>
        </is>
      </c>
    </row>
    <row r="35">
      <c r="A35" t="n">
        <v>97</v>
      </c>
      <c r="B35" t="inlineStr">
        <is>
          <t>Gyfin Rhasia Underground</t>
        </is>
      </c>
      <c r="C35" t="inlineStr">
        <is>
          <t>kamasylvia</t>
        </is>
      </c>
      <c r="D35" t="inlineStr">
        <is>
          <t>290</t>
        </is>
      </c>
      <c r="E35" t="inlineStr">
        <is>
          <t>380</t>
        </is>
      </c>
      <c r="F35" t="n">
        <v>3515</v>
      </c>
      <c r="G35" t="n">
        <v>4422.2</v>
      </c>
      <c r="H35" t="n">
        <v>53</v>
      </c>
      <c r="I35" t="inlineStr">
        <is>
          <t>Bronze Fragment of Delusion</t>
        </is>
      </c>
      <c r="J35" t="n">
        <v>9964.700000000001</v>
      </c>
      <c r="K35" s="2" t="n"/>
      <c r="L35">
        <f>IF(K35="","",J35/K35)</f>
        <v/>
      </c>
      <c r="M35" t="inlineStr"/>
    </row>
    <row r="36">
      <c r="A36" t="n">
        <v>214</v>
      </c>
      <c r="B36" t="inlineStr">
        <is>
          <t>Hermesia Inner Castle</t>
        </is>
      </c>
      <c r="C36" t="inlineStr">
        <is>
          <t>edania</t>
        </is>
      </c>
      <c r="D36" t="inlineStr">
        <is>
          <t>405</t>
        </is>
      </c>
      <c r="E36" t="inlineStr">
        <is>
          <t>485</t>
        </is>
      </c>
      <c r="F36" t="n">
        <v>7616</v>
      </c>
      <c r="G36" t="n">
        <v>10705.5</v>
      </c>
      <c r="H36" t="n">
        <v>3</v>
      </c>
      <c r="I36" t="inlineStr">
        <is>
          <t>Black Crystal Fragment</t>
        </is>
      </c>
      <c r="J36" t="n">
        <v>6661</v>
      </c>
      <c r="K36" s="2" t="n"/>
      <c r="L36">
        <f>IF(K36="","",J36/K36)</f>
        <v/>
      </c>
      <c r="M36" t="inlineStr"/>
    </row>
    <row r="37">
      <c r="A37" t="n">
        <v>124</v>
      </c>
      <c r="B37" t="inlineStr">
        <is>
          <t>Hexe Sanctuary</t>
        </is>
      </c>
      <c r="C37" t="inlineStr">
        <is>
          <t>calpheon</t>
        </is>
      </c>
      <c r="D37" t="inlineStr">
        <is>
          <t>300</t>
        </is>
      </c>
      <c r="E37" t="inlineStr">
        <is>
          <t>390</t>
        </is>
      </c>
      <c r="F37" t="n">
        <v>33871</v>
      </c>
      <c r="G37" t="n">
        <v>36644.7</v>
      </c>
      <c r="H37" t="n">
        <v>53</v>
      </c>
      <c r="I37" t="inlineStr">
        <is>
          <t>Howling Bone Fragment</t>
        </is>
      </c>
      <c r="J37" t="n">
        <v>11493</v>
      </c>
      <c r="K37" s="2" t="n"/>
      <c r="L37">
        <f>IF(K37="","",J37/K37)</f>
        <v/>
      </c>
      <c r="M37" t="inlineStr"/>
    </row>
    <row r="38">
      <c r="A38" t="n">
        <v>165</v>
      </c>
      <c r="B38" t="inlineStr">
        <is>
          <t>Honglim Base</t>
        </is>
      </c>
      <c r="C38" t="inlineStr">
        <is>
          <t>morninglight</t>
        </is>
      </c>
      <c r="D38" t="inlineStr">
        <is>
          <t>270</t>
        </is>
      </c>
      <c r="E38" t="inlineStr">
        <is>
          <t>360</t>
        </is>
      </c>
      <c r="F38" t="n">
        <v>196</v>
      </c>
      <c r="G38" t="n">
        <v>215.4</v>
      </c>
      <c r="H38" t="n">
        <v>7</v>
      </c>
      <c r="I38" t="inlineStr">
        <is>
          <t>Faded Bandit Mask</t>
        </is>
      </c>
      <c r="J38" t="n">
        <v>11005</v>
      </c>
      <c r="K38" s="2" t="n"/>
      <c r="L38">
        <f>IF(K38="","",J38/K38)</f>
        <v/>
      </c>
      <c r="M38" t="inlineStr"/>
    </row>
    <row r="39">
      <c r="A39" t="n">
        <v>3</v>
      </c>
      <c r="B39" t="inlineStr">
        <is>
          <t>Hystria Ruins</t>
        </is>
      </c>
      <c r="C39" t="inlineStr">
        <is>
          <t>valencia</t>
        </is>
      </c>
      <c r="D39" t="inlineStr">
        <is>
          <t>230</t>
        </is>
      </c>
      <c r="E39" t="inlineStr">
        <is>
          <t>300</t>
        </is>
      </c>
      <c r="F39" t="n">
        <v>143</v>
      </c>
      <c r="G39" t="n">
        <v>164.6</v>
      </c>
      <c r="H39" t="n">
        <v>42</v>
      </c>
      <c r="I39" t="inlineStr">
        <is>
          <t>Hystria Ruins Fragment</t>
        </is>
      </c>
      <c r="J39" t="n">
        <v>4457.6</v>
      </c>
      <c r="K39" s="2" t="n"/>
      <c r="L39">
        <f>IF(K39="","",J39/K39)</f>
        <v/>
      </c>
      <c r="M39" t="inlineStr"/>
    </row>
    <row r="40">
      <c r="A40" t="n">
        <v>110</v>
      </c>
      <c r="B40" t="inlineStr">
        <is>
          <t>Jade Starlight Forest</t>
        </is>
      </c>
      <c r="C40" t="inlineStr">
        <is>
          <t>snowmountain</t>
        </is>
      </c>
      <c r="D40" t="inlineStr">
        <is>
          <t>270</t>
        </is>
      </c>
      <c r="E40" t="inlineStr">
        <is>
          <t>350</t>
        </is>
      </c>
      <c r="F40" t="n">
        <v>2201</v>
      </c>
      <c r="G40" t="n">
        <v>2447.5</v>
      </c>
      <c r="H40" t="n">
        <v>53</v>
      </c>
      <c r="I40" t="inlineStr">
        <is>
          <t>Starlit Jade Powder</t>
        </is>
      </c>
      <c r="J40" t="n">
        <v>9588</v>
      </c>
      <c r="K40" s="2" t="n"/>
      <c r="L40">
        <f>IF(K40="","",J40/K40)</f>
        <v/>
      </c>
      <c r="M40" t="inlineStr"/>
    </row>
    <row r="41">
      <c r="A41" t="n">
        <v>9</v>
      </c>
      <c r="B41" t="inlineStr">
        <is>
          <t>Kratuga Ancient Ruins</t>
        </is>
      </c>
      <c r="C41" t="inlineStr">
        <is>
          <t>mediah</t>
        </is>
      </c>
      <c r="D41" t="inlineStr">
        <is>
          <t>230</t>
        </is>
      </c>
      <c r="E41" t="inlineStr">
        <is>
          <t>300</t>
        </is>
      </c>
      <c r="F41" t="n">
        <v>57</v>
      </c>
      <c r="G41" t="n">
        <v>69.90000000000001</v>
      </c>
      <c r="H41" t="n">
        <v>29</v>
      </c>
      <c r="I41" t="inlineStr">
        <is>
          <t>Iridescent Rock Piece</t>
        </is>
      </c>
      <c r="J41" t="n">
        <v>14241</v>
      </c>
      <c r="K41" s="2" t="n"/>
      <c r="L41">
        <f>IF(K41="","",J41/K41)</f>
        <v/>
      </c>
      <c r="M41" t="inlineStr"/>
    </row>
    <row r="42">
      <c r="A42" t="n">
        <v>215</v>
      </c>
      <c r="B42" t="inlineStr">
        <is>
          <t>Magaia Temple</t>
        </is>
      </c>
      <c r="C42" t="inlineStr">
        <is>
          <t>edania</t>
        </is>
      </c>
      <c r="D42" t="inlineStr">
        <is>
          <t>410</t>
        </is>
      </c>
      <c r="E42" t="inlineStr">
        <is>
          <t xml:space="preserve">490 </t>
        </is>
      </c>
      <c r="F42" t="n">
        <v>24090</v>
      </c>
      <c r="G42" t="n">
        <v>32934.8</v>
      </c>
      <c r="H42" t="n">
        <v>5</v>
      </c>
      <c r="I42" t="inlineStr">
        <is>
          <t>Elion Follower's Helmet</t>
        </is>
      </c>
      <c r="J42" t="n">
        <v>6400</v>
      </c>
      <c r="K42" s="2" t="n"/>
      <c r="L42">
        <f>IF(K42="","",J42/K42)</f>
        <v/>
      </c>
      <c r="M42" t="inlineStr"/>
    </row>
    <row r="43">
      <c r="A43" t="n">
        <v>25</v>
      </c>
      <c r="B43" t="inlineStr">
        <is>
          <t>Manshaum Forest</t>
        </is>
      </c>
      <c r="C43" t="inlineStr">
        <is>
          <t>kamasylvia</t>
        </is>
      </c>
      <c r="D43" t="inlineStr">
        <is>
          <t>190</t>
        </is>
      </c>
      <c r="E43" t="inlineStr">
        <is>
          <t>260</t>
        </is>
      </c>
      <c r="F43" t="n">
        <v>89</v>
      </c>
      <c r="G43" t="n">
        <v>105</v>
      </c>
      <c r="H43" t="n">
        <v>41</v>
      </c>
      <c r="I43" t="inlineStr">
        <is>
          <t>Narc Magic Mark</t>
        </is>
      </c>
      <c r="J43" t="n">
        <v>5566.4</v>
      </c>
      <c r="K43" s="2" t="n"/>
      <c r="L43">
        <f>IF(K43="","",J43/K43)</f>
        <v/>
      </c>
      <c r="M43" t="inlineStr"/>
    </row>
    <row r="44">
      <c r="A44" t="n">
        <v>28</v>
      </c>
      <c r="B44" t="inlineStr">
        <is>
          <t>Mirumok Ruins</t>
        </is>
      </c>
      <c r="C44" t="inlineStr">
        <is>
          <t>kamasylvia</t>
        </is>
      </c>
      <c r="D44" t="inlineStr">
        <is>
          <t>190</t>
        </is>
      </c>
      <c r="E44" t="inlineStr">
        <is>
          <t>270</t>
        </is>
      </c>
      <c r="F44" t="n">
        <v>136</v>
      </c>
      <c r="G44" t="n">
        <v>152.1</v>
      </c>
      <c r="H44" t="n">
        <v>39</v>
      </c>
      <c r="I44" t="inlineStr">
        <is>
          <t>Degraded Wood Fragment</t>
        </is>
      </c>
      <c r="J44" t="n">
        <v>5539.7</v>
      </c>
      <c r="K44" s="2" t="n"/>
      <c r="L44">
        <f>IF(K44="","",J44/K44)</f>
        <v/>
      </c>
      <c r="M44" t="inlineStr"/>
    </row>
    <row r="45">
      <c r="A45" t="n">
        <v>111</v>
      </c>
      <c r="B45" t="inlineStr">
        <is>
          <t>Murrowak's Labyrinth</t>
        </is>
      </c>
      <c r="C45" t="inlineStr">
        <is>
          <t>snowmountain</t>
        </is>
      </c>
      <c r="D45" t="inlineStr">
        <is>
          <t>260</t>
        </is>
      </c>
      <c r="E45" t="inlineStr">
        <is>
          <t>350</t>
        </is>
      </c>
      <c r="F45" t="n">
        <v>167</v>
      </c>
      <c r="G45" t="n">
        <v>206.9</v>
      </c>
      <c r="H45" t="n">
        <v>43</v>
      </c>
      <c r="I45" t="inlineStr">
        <is>
          <t>Decomposed Exocrine Gland</t>
        </is>
      </c>
      <c r="J45" t="n">
        <v>11248</v>
      </c>
      <c r="K45" s="2" t="n"/>
      <c r="L45">
        <f>IF(K45="","",J45/K45)</f>
        <v/>
      </c>
      <c r="M45" t="inlineStr"/>
    </row>
    <row r="46">
      <c r="A46" t="n">
        <v>184</v>
      </c>
      <c r="B46" t="inlineStr">
        <is>
          <t>Nymphamare Castle</t>
        </is>
      </c>
      <c r="C46" t="inlineStr">
        <is>
          <t>edania</t>
        </is>
      </c>
      <c r="D46" t="inlineStr">
        <is>
          <t>370</t>
        </is>
      </c>
      <c r="E46" t="inlineStr">
        <is>
          <t>440</t>
        </is>
      </c>
      <c r="F46" t="n">
        <v>26217</v>
      </c>
      <c r="G46" t="n">
        <v>30958.7</v>
      </c>
      <c r="H46" t="n">
        <v>53</v>
      </c>
      <c r="I46" t="inlineStr">
        <is>
          <t>Contaminated Coral Piece</t>
        </is>
      </c>
      <c r="J46" t="n">
        <v>5774.9</v>
      </c>
      <c r="K46" s="2" t="n"/>
      <c r="L46">
        <f>IF(K46="","",J46/K46)</f>
        <v/>
      </c>
      <c r="M46" t="inlineStr"/>
    </row>
    <row r="47">
      <c r="A47" t="n">
        <v>5</v>
      </c>
      <c r="B47" t="inlineStr">
        <is>
          <t>Olun's Valley</t>
        </is>
      </c>
      <c r="C47" t="inlineStr">
        <is>
          <t>odyllita</t>
        </is>
      </c>
      <c r="D47" t="inlineStr">
        <is>
          <t>290</t>
        </is>
      </c>
      <c r="E47" t="inlineStr">
        <is>
          <t>380</t>
        </is>
      </c>
      <c r="F47" t="n">
        <v>287</v>
      </c>
      <c r="G47" t="n">
        <v>336.1</v>
      </c>
      <c r="H47" t="n">
        <v>45</v>
      </c>
      <c r="I47" t="inlineStr">
        <is>
          <t>Golem's Heart Fragment</t>
        </is>
      </c>
      <c r="J47" t="n">
        <v>2511.1</v>
      </c>
      <c r="K47" s="2" t="n"/>
      <c r="L47">
        <f>IF(K47="","",J47/K47)</f>
        <v/>
      </c>
      <c r="M47" t="inlineStr"/>
    </row>
    <row r="48">
      <c r="A48" t="n">
        <v>185</v>
      </c>
      <c r="B48" t="inlineStr">
        <is>
          <t>Orbita Castle</t>
        </is>
      </c>
      <c r="C48" t="inlineStr">
        <is>
          <t>edania</t>
        </is>
      </c>
      <c r="D48" t="inlineStr">
        <is>
          <t>380</t>
        </is>
      </c>
      <c r="E48" t="inlineStr">
        <is>
          <t>445</t>
        </is>
      </c>
      <c r="F48" t="n">
        <v>42016</v>
      </c>
      <c r="G48" t="n">
        <v>54468.5</v>
      </c>
      <c r="H48" t="n">
        <v>53</v>
      </c>
      <c r="I48" t="inlineStr">
        <is>
          <t>Lightlost Core</t>
        </is>
      </c>
      <c r="J48" t="n">
        <v>6136</v>
      </c>
      <c r="K48" s="2" t="n"/>
      <c r="L48">
        <f>IF(K48="","",J48/K48)</f>
        <v/>
      </c>
      <c r="M48" t="inlineStr"/>
    </row>
    <row r="49">
      <c r="A49" t="n">
        <v>17</v>
      </c>
      <c r="B49" t="inlineStr">
        <is>
          <t>Orc Camp</t>
        </is>
      </c>
      <c r="C49" t="inlineStr">
        <is>
          <t>serendia</t>
        </is>
      </c>
      <c r="D49" t="inlineStr">
        <is>
          <t>260</t>
        </is>
      </c>
      <c r="E49" t="inlineStr">
        <is>
          <t>340</t>
        </is>
      </c>
      <c r="F49" t="n">
        <v>1751</v>
      </c>
      <c r="G49" t="n">
        <v>1863.4</v>
      </c>
      <c r="H49" t="n">
        <v>53</v>
      </c>
      <c r="I49" t="inlineStr">
        <is>
          <t>Oily Orange Mushroom</t>
        </is>
      </c>
      <c r="J49" t="n">
        <v>8639.200000000001</v>
      </c>
      <c r="K49" s="2" t="n"/>
      <c r="L49">
        <f>IF(K49="","",J49/K49)</f>
        <v/>
      </c>
      <c r="M49" t="inlineStr"/>
    </row>
    <row r="50">
      <c r="A50" t="n">
        <v>10</v>
      </c>
      <c r="B50" t="inlineStr">
        <is>
          <t>Padix Island</t>
        </is>
      </c>
      <c r="C50" t="inlineStr">
        <is>
          <t>calpheon</t>
        </is>
      </c>
      <c r="D50" t="inlineStr">
        <is>
          <t>250</t>
        </is>
      </c>
      <c r="E50" t="inlineStr">
        <is>
          <t>340</t>
        </is>
      </c>
      <c r="F50" t="n">
        <v>970</v>
      </c>
      <c r="G50" t="n">
        <v>1698.1</v>
      </c>
      <c r="H50" t="n">
        <v>53</v>
      </c>
      <c r="I50" t="inlineStr">
        <is>
          <t>Outlaw's Mark</t>
        </is>
      </c>
      <c r="J50" t="n">
        <v>8794.9</v>
      </c>
      <c r="K50" s="2" t="n"/>
      <c r="L50">
        <f>IF(K50="","",J50/K50)</f>
        <v/>
      </c>
      <c r="M50" t="inlineStr"/>
    </row>
    <row r="51">
      <c r="A51" t="n">
        <v>92</v>
      </c>
      <c r="B51" t="inlineStr">
        <is>
          <t>Pila Ku Jail</t>
        </is>
      </c>
      <c r="C51" t="inlineStr">
        <is>
          <t>valencia</t>
        </is>
      </c>
      <c r="D51" t="inlineStr">
        <is>
          <t>190</t>
        </is>
      </c>
      <c r="E51" t="inlineStr">
        <is>
          <t>240</t>
        </is>
      </c>
      <c r="F51" t="n">
        <v>37</v>
      </c>
      <c r="G51" t="n">
        <v>76.5</v>
      </c>
      <c r="H51" t="n">
        <v>24</v>
      </c>
      <c r="I51" t="inlineStr">
        <is>
          <t>Warder's Token Piece</t>
        </is>
      </c>
      <c r="J51" t="n">
        <v>3275</v>
      </c>
      <c r="K51" s="2" t="n"/>
      <c r="L51">
        <f>IF(K51="","",J51/K51)</f>
        <v/>
      </c>
      <c r="M51" t="inlineStr"/>
    </row>
    <row r="52">
      <c r="A52" t="n">
        <v>29</v>
      </c>
      <c r="B52" t="inlineStr">
        <is>
          <t>Polly's Forest</t>
        </is>
      </c>
      <c r="C52" t="inlineStr">
        <is>
          <t>kamasylvia</t>
        </is>
      </c>
      <c r="D52" t="inlineStr">
        <is>
          <t>140</t>
        </is>
      </c>
      <c r="E52" t="inlineStr">
        <is>
          <t>250</t>
        </is>
      </c>
      <c r="F52" t="n">
        <v>134</v>
      </c>
      <c r="G52" t="n">
        <v>134.1</v>
      </c>
      <c r="H52" t="n">
        <v>39</v>
      </c>
      <c r="I52" t="inlineStr">
        <is>
          <t>Mushroom Hypha</t>
        </is>
      </c>
      <c r="J52" t="n">
        <v>9206.5</v>
      </c>
      <c r="K52" s="2" t="n"/>
      <c r="L52">
        <f>IF(K52="","",J52/K52)</f>
        <v/>
      </c>
      <c r="M52" t="inlineStr"/>
    </row>
    <row r="53">
      <c r="A53" t="n">
        <v>120</v>
      </c>
      <c r="B53" t="inlineStr">
        <is>
          <t>Primal Giant Post</t>
        </is>
      </c>
      <c r="C53" t="inlineStr">
        <is>
          <t>calpheon</t>
        </is>
      </c>
      <c r="D53" t="inlineStr">
        <is>
          <t>280</t>
        </is>
      </c>
      <c r="E53" t="inlineStr">
        <is>
          <t>380</t>
        </is>
      </c>
      <c r="F53" t="n">
        <v>842</v>
      </c>
      <c r="G53" t="n">
        <v>1002.1</v>
      </c>
      <c r="H53" t="n">
        <v>52</v>
      </c>
      <c r="I53" t="inlineStr">
        <is>
          <t>Scornful Spear</t>
        </is>
      </c>
      <c r="J53" t="n">
        <v>9178.5</v>
      </c>
      <c r="K53" s="2" t="n"/>
      <c r="L53">
        <f>IF(K53="","",J53/K53)</f>
        <v/>
      </c>
      <c r="M53" t="inlineStr"/>
    </row>
    <row r="54">
      <c r="A54" t="n">
        <v>37</v>
      </c>
      <c r="B54" t="inlineStr">
        <is>
          <t>Protty Cave</t>
        </is>
      </c>
      <c r="C54" t="inlineStr">
        <is>
          <t>balenos</t>
        </is>
      </c>
      <c r="D54" t="inlineStr">
        <is>
          <t>170</t>
        </is>
      </c>
      <c r="E54" t="inlineStr">
        <is>
          <t>200</t>
        </is>
      </c>
      <c r="F54" t="n">
        <v>16</v>
      </c>
      <c r="G54" t="n">
        <v>21.8</v>
      </c>
      <c r="H54" t="n">
        <v>9</v>
      </c>
      <c r="I54" t="inlineStr">
        <is>
          <t>Protty Fin</t>
        </is>
      </c>
      <c r="J54" t="n">
        <v>7523.7</v>
      </c>
      <c r="K54" s="2" t="n"/>
      <c r="L54">
        <f>IF(K54="","",J54/K54)</f>
        <v/>
      </c>
      <c r="M54" t="inlineStr">
        <is>
          <t>low sample</t>
        </is>
      </c>
    </row>
    <row r="55">
      <c r="A55" t="n">
        <v>121</v>
      </c>
      <c r="B55" t="inlineStr">
        <is>
          <t>Quint Hill</t>
        </is>
      </c>
      <c r="C55" t="inlineStr">
        <is>
          <t>calpheon</t>
        </is>
      </c>
      <c r="D55" t="inlineStr">
        <is>
          <t>320</t>
        </is>
      </c>
      <c r="E55" t="inlineStr">
        <is>
          <t>400</t>
        </is>
      </c>
      <c r="F55" t="n">
        <v>2609</v>
      </c>
      <c r="G55" t="n">
        <v>3277.2</v>
      </c>
      <c r="H55" t="n">
        <v>53</v>
      </c>
      <c r="I55" t="inlineStr">
        <is>
          <t>Fiery Troll Hide</t>
        </is>
      </c>
      <c r="J55" t="n">
        <v>3855.9</v>
      </c>
      <c r="K55" s="2" t="n"/>
      <c r="L55">
        <f>IF(K55="","",J55/K55)</f>
        <v/>
      </c>
      <c r="M55" t="inlineStr"/>
    </row>
    <row r="56">
      <c r="A56" t="n">
        <v>122</v>
      </c>
      <c r="B56" t="inlineStr">
        <is>
          <t>Rhutum Outstation</t>
        </is>
      </c>
      <c r="C56" t="inlineStr">
        <is>
          <t>calpheon</t>
        </is>
      </c>
      <c r="D56" t="inlineStr">
        <is>
          <t>260</t>
        </is>
      </c>
      <c r="E56" t="inlineStr">
        <is>
          <t>360</t>
        </is>
      </c>
      <c r="F56" t="n">
        <v>138</v>
      </c>
      <c r="G56" t="n">
        <v>155.7</v>
      </c>
      <c r="H56" t="n">
        <v>34</v>
      </c>
      <c r="I56" t="inlineStr">
        <is>
          <t>Gnawing Rhutum Fang</t>
        </is>
      </c>
      <c r="J56" t="n">
        <v>8332.700000000001</v>
      </c>
      <c r="K56" s="2" t="n"/>
      <c r="L56">
        <f>IF(K56="","",J56/K56)</f>
        <v/>
      </c>
      <c r="M56" t="inlineStr"/>
    </row>
    <row r="57">
      <c r="A57" t="n">
        <v>91</v>
      </c>
      <c r="B57" t="inlineStr">
        <is>
          <t>Roud Sulfur Mine</t>
        </is>
      </c>
      <c r="C57" t="inlineStr">
        <is>
          <t>valencia</t>
        </is>
      </c>
      <c r="D57" t="inlineStr">
        <is>
          <t>190</t>
        </is>
      </c>
      <c r="E57" t="inlineStr">
        <is>
          <t>240</t>
        </is>
      </c>
      <c r="F57" t="n">
        <v>62</v>
      </c>
      <c r="G57" t="n">
        <v>94.8</v>
      </c>
      <c r="H57" t="n">
        <v>26</v>
      </c>
      <c r="I57" t="inlineStr">
        <is>
          <t>Sulfur Fragment</t>
        </is>
      </c>
      <c r="J57" t="n">
        <v>3311.5</v>
      </c>
      <c r="K57" s="2" t="n"/>
      <c r="L57">
        <f>IF(K57="","",J57/K57)</f>
        <v/>
      </c>
      <c r="M57" t="inlineStr"/>
    </row>
    <row r="58">
      <c r="A58" t="n">
        <v>123</v>
      </c>
      <c r="B58" t="inlineStr">
        <is>
          <t>Saunil Camp</t>
        </is>
      </c>
      <c r="C58" t="inlineStr">
        <is>
          <t>calpheon</t>
        </is>
      </c>
      <c r="D58" t="inlineStr">
        <is>
          <t>250</t>
        </is>
      </c>
      <c r="E58" t="inlineStr">
        <is>
          <t>330</t>
        </is>
      </c>
      <c r="F58" t="n">
        <v>212</v>
      </c>
      <c r="G58" t="n">
        <v>247.5</v>
      </c>
      <c r="H58" t="n">
        <v>36</v>
      </c>
      <c r="I58" t="inlineStr">
        <is>
          <t>Icy Armor Fragment</t>
        </is>
      </c>
      <c r="J58" t="n">
        <v>8187.7</v>
      </c>
      <c r="K58" s="2" t="n"/>
      <c r="L58">
        <f>IF(K58="","",J58/K58)</f>
        <v/>
      </c>
      <c r="M58" t="inlineStr"/>
    </row>
    <row r="59">
      <c r="A59" t="n">
        <v>217</v>
      </c>
      <c r="B59" t="inlineStr">
        <is>
          <t>Scales of Judgment</t>
        </is>
      </c>
      <c r="C59" t="inlineStr">
        <is>
          <t>edania</t>
        </is>
      </c>
      <c r="D59" t="inlineStr">
        <is>
          <t>415</t>
        </is>
      </c>
      <c r="E59" t="inlineStr">
        <is>
          <t>500</t>
        </is>
      </c>
      <c r="F59" t="n">
        <v>1082</v>
      </c>
      <c r="G59" t="n">
        <v>1408</v>
      </c>
      <c r="H59" t="n">
        <v>5</v>
      </c>
      <c r="I59" t="inlineStr">
        <is>
          <t>Elion Follower's Mark</t>
        </is>
      </c>
      <c r="J59" t="n">
        <v>6716.5</v>
      </c>
      <c r="K59" s="2" t="n"/>
      <c r="L59">
        <f>IF(K59="","",J59/K59)</f>
        <v/>
      </c>
      <c r="M59" t="inlineStr"/>
    </row>
    <row r="60">
      <c r="A60" t="n">
        <v>23</v>
      </c>
      <c r="B60" t="inlineStr">
        <is>
          <t>Sherekhan (Day)</t>
        </is>
      </c>
      <c r="C60" t="inlineStr">
        <is>
          <t>drieghan</t>
        </is>
      </c>
      <c r="D60" t="inlineStr">
        <is>
          <t>190</t>
        </is>
      </c>
      <c r="E60" t="inlineStr">
        <is>
          <t>230</t>
        </is>
      </c>
      <c r="F60" t="n">
        <v>167</v>
      </c>
      <c r="G60" t="n">
        <v>156.5</v>
      </c>
      <c r="H60" t="n">
        <v>42</v>
      </c>
      <c r="I60" t="inlineStr">
        <is>
          <t>Token of Bravery</t>
        </is>
      </c>
      <c r="J60" t="n">
        <v>7438.9</v>
      </c>
      <c r="K60" s="2" t="n"/>
      <c r="L60">
        <f>IF(K60="","",J60/K60)</f>
        <v/>
      </c>
      <c r="M60" t="inlineStr"/>
    </row>
    <row r="61">
      <c r="A61" t="n">
        <v>119</v>
      </c>
      <c r="B61" t="inlineStr">
        <is>
          <t>Sherekhan (Night)</t>
        </is>
      </c>
      <c r="C61" t="inlineStr">
        <is>
          <t>drieghan</t>
        </is>
      </c>
      <c r="D61" t="inlineStr">
        <is>
          <t>210</t>
        </is>
      </c>
      <c r="E61" t="inlineStr">
        <is>
          <t>230</t>
        </is>
      </c>
      <c r="F61" t="n">
        <v>15</v>
      </c>
      <c r="G61" t="n">
        <v>9.1</v>
      </c>
      <c r="H61" t="n">
        <v>12</v>
      </c>
      <c r="I61" t="inlineStr">
        <is>
          <t>Medal of Bravery</t>
        </is>
      </c>
      <c r="J61" t="n">
        <v>1931.7</v>
      </c>
      <c r="K61" s="2" t="n"/>
      <c r="L61">
        <f>IF(K61="","",J61/K61)</f>
        <v/>
      </c>
      <c r="M61" t="inlineStr">
        <is>
          <t>low sample</t>
        </is>
      </c>
    </row>
    <row r="62">
      <c r="A62" t="n">
        <v>200</v>
      </c>
      <c r="B62" t="inlineStr">
        <is>
          <t>Star's End</t>
        </is>
      </c>
      <c r="C62" t="inlineStr">
        <is>
          <t>calpheon</t>
        </is>
      </c>
      <c r="D62" t="inlineStr">
        <is>
          <t>395</t>
        </is>
      </c>
      <c r="E62" t="inlineStr">
        <is>
          <t>460</t>
        </is>
      </c>
      <c r="F62" t="n">
        <v>412</v>
      </c>
      <c r="G62" t="n">
        <v>568</v>
      </c>
      <c r="H62" t="n">
        <v>7</v>
      </c>
      <c r="I62" t="inlineStr">
        <is>
          <t>Corrupted Sanguine Crystal</t>
        </is>
      </c>
      <c r="J62" t="n">
        <v>5582.1</v>
      </c>
      <c r="K62" s="2" t="n"/>
      <c r="L62">
        <f>IF(K62="","",J62/K62)</f>
        <v/>
      </c>
      <c r="M62" t="inlineStr"/>
    </row>
    <row r="63">
      <c r="A63" t="n">
        <v>14</v>
      </c>
      <c r="B63" t="inlineStr">
        <is>
          <t>Swamp Fogan Habitat</t>
        </is>
      </c>
      <c r="C63" t="inlineStr">
        <is>
          <t>serendia</t>
        </is>
      </c>
      <c r="D63" t="inlineStr">
        <is>
          <t>240</t>
        </is>
      </c>
      <c r="E63" t="inlineStr">
        <is>
          <t>330</t>
        </is>
      </c>
      <c r="F63" t="n">
        <v>628</v>
      </c>
      <c r="G63" t="n">
        <v>679.8</v>
      </c>
      <c r="H63" t="n">
        <v>51</v>
      </c>
      <c r="I63" t="inlineStr">
        <is>
          <t>Hardened Casque</t>
        </is>
      </c>
      <c r="J63" t="n">
        <v>7046.6</v>
      </c>
      <c r="K63" s="2" t="n"/>
      <c r="L63">
        <f>IF(K63="","",J63/K63)</f>
        <v/>
      </c>
      <c r="M63" t="inlineStr"/>
    </row>
    <row r="64">
      <c r="A64" t="n">
        <v>15</v>
      </c>
      <c r="B64" t="inlineStr">
        <is>
          <t>Swamp Naga Habitat</t>
        </is>
      </c>
      <c r="C64" t="inlineStr">
        <is>
          <t>serendia</t>
        </is>
      </c>
      <c r="D64" t="inlineStr">
        <is>
          <t>240</t>
        </is>
      </c>
      <c r="E64" t="inlineStr">
        <is>
          <t>330</t>
        </is>
      </c>
      <c r="F64" t="n">
        <v>143</v>
      </c>
      <c r="G64" t="n">
        <v>149.9</v>
      </c>
      <c r="H64" t="n">
        <v>34</v>
      </c>
      <c r="I64" t="inlineStr">
        <is>
          <t>Bruised Naga Fin</t>
        </is>
      </c>
      <c r="J64" t="n">
        <v>5975.7</v>
      </c>
      <c r="K64" s="2" t="n"/>
      <c r="L64">
        <f>IF(K64="","",J64/K64)</f>
        <v/>
      </c>
      <c r="M64" t="inlineStr"/>
    </row>
    <row r="65">
      <c r="A65" t="n">
        <v>201</v>
      </c>
      <c r="B65" t="inlineStr">
        <is>
          <t>Sycraia Ruins Lower Zone</t>
        </is>
      </c>
      <c r="C65" t="inlineStr">
        <is>
          <t>balenos</t>
        </is>
      </c>
      <c r="D65" t="inlineStr">
        <is>
          <t>395</t>
        </is>
      </c>
      <c r="E65" t="inlineStr">
        <is>
          <t>460</t>
        </is>
      </c>
      <c r="F65" t="n">
        <v>1821</v>
      </c>
      <c r="G65" t="n">
        <v>2213.1</v>
      </c>
      <c r="H65" t="n">
        <v>7</v>
      </c>
      <c r="I65" t="inlineStr">
        <is>
          <t>Underwater Ancient Weapon Power Stone</t>
        </is>
      </c>
      <c r="J65" t="n">
        <v>5087.7</v>
      </c>
      <c r="K65" s="2" t="n"/>
      <c r="L65">
        <f>IF(K65="","",J65/K65)</f>
        <v/>
      </c>
      <c r="M65" t="inlineStr"/>
    </row>
    <row r="66">
      <c r="A66" t="n">
        <v>202</v>
      </c>
      <c r="B66" t="inlineStr">
        <is>
          <t>Sycraia Ruins Upper Zone</t>
        </is>
      </c>
      <c r="C66" t="inlineStr">
        <is>
          <t>balenos</t>
        </is>
      </c>
      <c r="D66" t="inlineStr">
        <is>
          <t>300</t>
        </is>
      </c>
      <c r="E66" t="inlineStr">
        <is>
          <t>400</t>
        </is>
      </c>
      <c r="F66" t="n">
        <v>503</v>
      </c>
      <c r="G66" t="n">
        <v>811.1</v>
      </c>
      <c r="H66" t="n">
        <v>29</v>
      </c>
      <c r="I66" t="inlineStr">
        <is>
          <t>Destroyed Ancient Weapon Power Stone</t>
        </is>
      </c>
      <c r="J66" t="n">
        <v>9989.4</v>
      </c>
      <c r="K66" s="2" t="n"/>
      <c r="L66">
        <f>IF(K66="","",J66/K66)</f>
        <v/>
      </c>
      <c r="M66" t="inlineStr"/>
    </row>
    <row r="67">
      <c r="A67" t="n">
        <v>193</v>
      </c>
      <c r="B67" t="inlineStr">
        <is>
          <t>Tenebraum Castle</t>
        </is>
      </c>
      <c r="C67" t="inlineStr">
        <is>
          <t>edania</t>
        </is>
      </c>
      <c r="D67" t="inlineStr">
        <is>
          <t>390</t>
        </is>
      </c>
      <c r="E67" t="inlineStr">
        <is>
          <t>450</t>
        </is>
      </c>
      <c r="F67" t="n">
        <v>50947</v>
      </c>
      <c r="G67" t="n">
        <v>74809.2</v>
      </c>
      <c r="H67" t="n">
        <v>53</v>
      </c>
      <c r="I67" t="inlineStr">
        <is>
          <t>Ancient Soldier Fragment</t>
        </is>
      </c>
      <c r="J67" t="n">
        <v>6300.1</v>
      </c>
      <c r="K67" s="2" t="n"/>
      <c r="L67">
        <f>IF(K67="","",J67/K67)</f>
        <v/>
      </c>
      <c r="M67" t="inlineStr"/>
    </row>
    <row r="68">
      <c r="A68" t="n">
        <v>7</v>
      </c>
      <c r="B68" t="inlineStr">
        <is>
          <t>Thornwood Forest</t>
        </is>
      </c>
      <c r="C68" t="inlineStr">
        <is>
          <t>odyllita</t>
        </is>
      </c>
      <c r="D68" t="inlineStr">
        <is>
          <t>230</t>
        </is>
      </c>
      <c r="E68" t="inlineStr">
        <is>
          <t>320</t>
        </is>
      </c>
      <c r="F68" t="n">
        <v>146</v>
      </c>
      <c r="G68" t="n">
        <v>160.2</v>
      </c>
      <c r="H68" t="n">
        <v>46</v>
      </c>
      <c r="I68" t="inlineStr">
        <is>
          <t>Moonlight Spirit Powder</t>
        </is>
      </c>
      <c r="J68" t="n">
        <v>6422.3</v>
      </c>
      <c r="K68" s="2" t="n"/>
      <c r="L68">
        <f>IF(K68="","",J68/K68)</f>
        <v/>
      </c>
      <c r="M68" t="inlineStr"/>
    </row>
    <row r="69">
      <c r="A69" t="n">
        <v>83</v>
      </c>
      <c r="B69" t="inlineStr">
        <is>
          <t>Titium Valley</t>
        </is>
      </c>
      <c r="C69" t="inlineStr">
        <is>
          <t>valencia</t>
        </is>
      </c>
      <c r="D69" t="inlineStr">
        <is>
          <t>100</t>
        </is>
      </c>
      <c r="E69" t="inlineStr">
        <is>
          <t>180</t>
        </is>
      </c>
      <c r="F69" t="n">
        <v>14</v>
      </c>
      <c r="G69" t="n">
        <v>17.4</v>
      </c>
      <c r="H69" t="n">
        <v>12</v>
      </c>
      <c r="I69" t="inlineStr">
        <is>
          <t>Desert Fogan's Helmet Shard</t>
        </is>
      </c>
      <c r="J69" t="n">
        <v>4172.7</v>
      </c>
      <c r="K69" s="2" t="n"/>
      <c r="L69">
        <f>IF(K69="","",J69/K69)</f>
        <v/>
      </c>
      <c r="M69" t="inlineStr">
        <is>
          <t>low sample</t>
        </is>
      </c>
    </row>
    <row r="70">
      <c r="A70" t="n">
        <v>72</v>
      </c>
      <c r="B70" t="inlineStr">
        <is>
          <t>Traitor's Graveyard</t>
        </is>
      </c>
      <c r="C70" t="inlineStr">
        <is>
          <t>calpheon</t>
        </is>
      </c>
      <c r="D70" t="inlineStr">
        <is>
          <t>200</t>
        </is>
      </c>
      <c r="E70" t="inlineStr">
        <is>
          <t>250</t>
        </is>
      </c>
      <c r="F70" t="n">
        <v>32</v>
      </c>
      <c r="G70" t="n">
        <v>34.3</v>
      </c>
      <c r="H70" t="n">
        <v>20</v>
      </c>
      <c r="I70" t="inlineStr">
        <is>
          <t>Shard of the Vengeful Undead</t>
        </is>
      </c>
      <c r="J70" t="n">
        <v>9953.6</v>
      </c>
      <c r="K70" s="2" t="n"/>
      <c r="L70">
        <f>IF(K70="","",J70/K70)</f>
        <v/>
      </c>
      <c r="M70" t="inlineStr">
        <is>
          <t>low sample</t>
        </is>
      </c>
    </row>
    <row r="71">
      <c r="A71" t="n">
        <v>24</v>
      </c>
      <c r="B71" t="inlineStr">
        <is>
          <t>Tshira Ruins</t>
        </is>
      </c>
      <c r="C71" t="inlineStr">
        <is>
          <t>drieghan</t>
        </is>
      </c>
      <c r="D71" t="inlineStr">
        <is>
          <t>140</t>
        </is>
      </c>
      <c r="E71" t="inlineStr">
        <is>
          <t>160</t>
        </is>
      </c>
      <c r="F71" t="n">
        <v>53</v>
      </c>
      <c r="G71" t="n">
        <v>47.7</v>
      </c>
      <c r="H71" t="n">
        <v>30</v>
      </c>
      <c r="I71" t="inlineStr">
        <is>
          <t>Swamp Leaves</t>
        </is>
      </c>
      <c r="J71" t="n">
        <v>5624.8</v>
      </c>
      <c r="K71" s="2" t="n"/>
      <c r="L71">
        <f>IF(K71="","",J71/K71)</f>
        <v/>
      </c>
      <c r="M71" t="inlineStr">
        <is>
          <t>low sample</t>
        </is>
      </c>
    </row>
    <row r="72">
      <c r="A72" t="n">
        <v>148</v>
      </c>
      <c r="B72" t="inlineStr">
        <is>
          <t>Tungrad Ruins</t>
        </is>
      </c>
      <c r="C72" t="inlineStr">
        <is>
          <t>ulukita</t>
        </is>
      </c>
      <c r="D72" t="inlineStr">
        <is>
          <t>330</t>
        </is>
      </c>
      <c r="E72" t="inlineStr">
        <is>
          <t>410</t>
        </is>
      </c>
      <c r="F72" t="n">
        <v>42820</v>
      </c>
      <c r="G72" t="n">
        <v>51785.1</v>
      </c>
      <c r="H72" t="n">
        <v>53</v>
      </c>
      <c r="I72" t="inlineStr">
        <is>
          <t>Tungrad Ruins Fragment</t>
        </is>
      </c>
      <c r="J72" t="n">
        <v>14309</v>
      </c>
      <c r="K72" s="2" t="n"/>
      <c r="L72">
        <f>IF(K72="","",J72/K72)</f>
        <v/>
      </c>
      <c r="M72" t="inlineStr"/>
    </row>
    <row r="73">
      <c r="A73" t="n">
        <v>4</v>
      </c>
      <c r="B73" t="inlineStr">
        <is>
          <t>Tunkuta</t>
        </is>
      </c>
      <c r="C73" t="inlineStr">
        <is>
          <t>odyllita</t>
        </is>
      </c>
      <c r="D73" t="inlineStr">
        <is>
          <t>250</t>
        </is>
      </c>
      <c r="E73" t="inlineStr">
        <is>
          <t>360</t>
        </is>
      </c>
      <c r="F73" t="n">
        <v>205</v>
      </c>
      <c r="G73" t="n">
        <v>211.4</v>
      </c>
      <c r="H73" t="n">
        <v>46</v>
      </c>
      <c r="I73" t="inlineStr">
        <is>
          <t>Broken Horn Fragment</t>
        </is>
      </c>
      <c r="J73" t="n">
        <v>4572.4</v>
      </c>
      <c r="K73" s="2" t="n"/>
      <c r="L73">
        <f>IF(K73="","",J73/K73)</f>
        <v/>
      </c>
      <c r="M73" t="inlineStr"/>
    </row>
    <row r="74">
      <c r="A74" t="n">
        <v>168</v>
      </c>
      <c r="B74" t="inlineStr">
        <is>
          <t>Unlucky Golden Pig Cave</t>
        </is>
      </c>
      <c r="C74" t="inlineStr">
        <is>
          <t>morninglight</t>
        </is>
      </c>
      <c r="D74" t="inlineStr">
        <is>
          <t>345</t>
        </is>
      </c>
      <c r="E74" t="inlineStr">
        <is>
          <t>438</t>
        </is>
      </c>
      <c r="F74" t="n">
        <v>167</v>
      </c>
      <c r="G74" t="n">
        <v>143.2</v>
      </c>
      <c r="H74" t="n">
        <v>36</v>
      </c>
      <c r="I74" t="inlineStr">
        <is>
          <t>Shattered Treasures</t>
        </is>
      </c>
      <c r="J74" t="n">
        <v>8613</v>
      </c>
      <c r="K74" s="2" t="n"/>
      <c r="L74">
        <f>IF(K74="","",J74/K74)</f>
        <v/>
      </c>
      <c r="M74" t="inlineStr"/>
    </row>
    <row r="75">
      <c r="A75" t="n">
        <v>2</v>
      </c>
      <c r="B75" t="inlineStr">
        <is>
          <t>Vessel of Inquisition</t>
        </is>
      </c>
      <c r="C75" t="inlineStr">
        <is>
          <t>calpheon</t>
        </is>
      </c>
      <c r="D75" t="inlineStr">
        <is>
          <t>240</t>
        </is>
      </c>
      <c r="E75" t="inlineStr">
        <is>
          <t>320</t>
        </is>
      </c>
      <c r="F75" t="n">
        <v>33</v>
      </c>
      <c r="G75" t="n">
        <v>42.2</v>
      </c>
      <c r="H75" t="n">
        <v>19</v>
      </c>
      <c r="I75" t="inlineStr">
        <is>
          <t>Sanguine Crystal of Despair</t>
        </is>
      </c>
      <c r="J75" t="n">
        <v>3987.4</v>
      </c>
      <c r="K75" s="2" t="n"/>
      <c r="L75">
        <f>IF(K75="","",J75/K75)</f>
        <v/>
      </c>
      <c r="M75" t="inlineStr">
        <is>
          <t>low sample</t>
        </is>
      </c>
    </row>
    <row r="76">
      <c r="A76" t="n">
        <v>117</v>
      </c>
      <c r="B76" t="inlineStr">
        <is>
          <t>Vessel of Inquisition Pillars</t>
        </is>
      </c>
      <c r="C76" t="inlineStr">
        <is>
          <t>calpheon</t>
        </is>
      </c>
      <c r="D76" t="inlineStr">
        <is>
          <t>240</t>
        </is>
      </c>
      <c r="E76" t="inlineStr">
        <is>
          <t>360</t>
        </is>
      </c>
      <c r="F76" t="n">
        <v>50</v>
      </c>
      <c r="G76" t="n">
        <v>61.6</v>
      </c>
      <c r="H76" t="n">
        <v>16</v>
      </c>
      <c r="I76" t="inlineStr">
        <is>
          <t>Sanguine Crystal of Despair</t>
        </is>
      </c>
      <c r="J76" t="n">
        <v>5405.6</v>
      </c>
      <c r="K76" s="2" t="n"/>
      <c r="L76">
        <f>IF(K76="","",J76/K76)</f>
        <v/>
      </c>
      <c r="M76" t="inlineStr"/>
    </row>
    <row r="77">
      <c r="A77" t="n">
        <v>88</v>
      </c>
      <c r="B77" t="inlineStr">
        <is>
          <t>Waragon Nest</t>
        </is>
      </c>
      <c r="C77" t="inlineStr">
        <is>
          <t>valencia</t>
        </is>
      </c>
      <c r="D77" t="inlineStr">
        <is>
          <t>150</t>
        </is>
      </c>
      <c r="E77" t="inlineStr">
        <is>
          <t>220</t>
        </is>
      </c>
      <c r="F77" t="n">
        <v>2</v>
      </c>
      <c r="G77" t="n">
        <v>2</v>
      </c>
      <c r="H77" t="n">
        <v>2</v>
      </c>
      <c r="I77" t="inlineStr">
        <is>
          <t>Stone Waragon Hide</t>
        </is>
      </c>
      <c r="J77" t="n">
        <v>23487</v>
      </c>
      <c r="K77" s="2" t="n"/>
      <c r="L77">
        <f>IF(K77="","",J77/K77)</f>
        <v/>
      </c>
      <c r="M77" t="inlineStr">
        <is>
          <t>low sample</t>
        </is>
      </c>
    </row>
    <row r="78">
      <c r="A78" t="n">
        <v>149</v>
      </c>
      <c r="B78" t="inlineStr">
        <is>
          <t>Winter Tree Fossil (280)</t>
        </is>
      </c>
      <c r="C78" t="inlineStr">
        <is>
          <t>snowmountain</t>
        </is>
      </c>
      <c r="D78" t="inlineStr">
        <is>
          <t>260</t>
        </is>
      </c>
      <c r="E78" t="inlineStr">
        <is>
          <t>350</t>
        </is>
      </c>
      <c r="F78" t="n">
        <v>6</v>
      </c>
      <c r="G78" t="n">
        <v>5.9</v>
      </c>
      <c r="H78" t="n">
        <v>6</v>
      </c>
      <c r="I78" t="inlineStr">
        <is>
          <t>Winter Tree Snow Crystal</t>
        </is>
      </c>
      <c r="J78" t="n">
        <v>23032</v>
      </c>
      <c r="K78" s="2" t="n"/>
      <c r="L78">
        <f>IF(K78="","",J78/K78)</f>
        <v/>
      </c>
      <c r="M78" t="inlineStr">
        <is>
          <t>low sample</t>
        </is>
      </c>
    </row>
    <row r="79">
      <c r="A79" t="n">
        <v>157</v>
      </c>
      <c r="B79" t="inlineStr">
        <is>
          <t>Yzrahid Highlands</t>
        </is>
      </c>
      <c r="C79" t="inlineStr">
        <is>
          <t>ulukita</t>
        </is>
      </c>
      <c r="D79" t="inlineStr">
        <is>
          <t>310</t>
        </is>
      </c>
      <c r="E79" t="inlineStr">
        <is>
          <t>420</t>
        </is>
      </c>
      <c r="F79" t="n">
        <v>1319</v>
      </c>
      <c r="G79" t="n">
        <v>1455.1</v>
      </c>
      <c r="H79" t="n">
        <v>7</v>
      </c>
      <c r="I79" t="inlineStr">
        <is>
          <t>Corrupt Power Source</t>
        </is>
      </c>
      <c r="J79" t="n">
        <v>15279</v>
      </c>
      <c r="K79" s="2" t="n"/>
      <c r="L79">
        <f>IF(K79="","",J79/K79)</f>
        <v/>
      </c>
      <c r="M79" t="inlineStr"/>
    </row>
    <row r="80">
      <c r="A80" t="n">
        <v>194</v>
      </c>
      <c r="B80" t="inlineStr">
        <is>
          <t>Zephyrus Castle</t>
        </is>
      </c>
      <c r="C80" t="inlineStr">
        <is>
          <t>edania</t>
        </is>
      </c>
      <c r="D80" t="inlineStr">
        <is>
          <t>395</t>
        </is>
      </c>
      <c r="E80" t="inlineStr">
        <is>
          <t>460</t>
        </is>
      </c>
      <c r="F80" t="n">
        <v>4627</v>
      </c>
      <c r="G80" t="n">
        <v>5377.4</v>
      </c>
      <c r="H80" t="n">
        <v>7</v>
      </c>
      <c r="I80" t="inlineStr">
        <is>
          <t>Hardened Lava Chunk</t>
        </is>
      </c>
      <c r="J80" t="n">
        <v>7901.4</v>
      </c>
      <c r="K80" s="2" t="n"/>
      <c r="L80">
        <f>IF(K80="","",J80/K80)</f>
        <v/>
      </c>
      <c r="M80" t="inlineStr"/>
    </row>
    <row r="81">
      <c r="A81" t="n">
        <v>162</v>
      </c>
      <c r="B81" t="inlineStr">
        <is>
          <t>[Dehkia 2] Ash Forest</t>
        </is>
      </c>
      <c r="C81" t="inlineStr">
        <is>
          <t>kamasylvia</t>
        </is>
      </c>
      <c r="D81" t="inlineStr">
        <is>
          <t>345</t>
        </is>
      </c>
      <c r="E81" t="inlineStr">
        <is>
          <t>430</t>
        </is>
      </c>
      <c r="F81" t="n">
        <v>8325</v>
      </c>
      <c r="G81" t="n">
        <v>11701.4</v>
      </c>
      <c r="H81" t="n">
        <v>53</v>
      </c>
      <c r="I81" t="inlineStr">
        <is>
          <t>Tainted Specter's Cloth</t>
        </is>
      </c>
      <c r="J81" t="n">
        <v>9677</v>
      </c>
      <c r="K81" s="2" t="n"/>
      <c r="L81">
        <f>IF(K81="","",J81/K81)</f>
        <v/>
      </c>
      <c r="M81" t="inlineStr"/>
    </row>
    <row r="82">
      <c r="A82" t="n">
        <v>161</v>
      </c>
      <c r="B82" t="inlineStr">
        <is>
          <t>[Dehkia 2] Olun's Valley</t>
        </is>
      </c>
      <c r="C82" t="inlineStr">
        <is>
          <t>odyllita</t>
        </is>
      </c>
      <c r="D82" t="inlineStr">
        <is>
          <t>340</t>
        </is>
      </c>
      <c r="E82" t="inlineStr">
        <is>
          <t>430</t>
        </is>
      </c>
      <c r="F82" t="n">
        <v>5896</v>
      </c>
      <c r="G82" t="n">
        <v>7807.3</v>
      </c>
      <c r="H82" t="n">
        <v>53</v>
      </c>
      <c r="I82" t="inlineStr">
        <is>
          <t>Tainted Golem's Heart Fragment</t>
        </is>
      </c>
      <c r="J82" t="n">
        <v>4009.4</v>
      </c>
      <c r="K82" s="2" t="n"/>
      <c r="L82">
        <f>IF(K82="","",J82/K82)</f>
        <v/>
      </c>
      <c r="M82" t="inlineStr"/>
    </row>
    <row r="83">
      <c r="A83" t="n">
        <v>155</v>
      </c>
      <c r="B83" t="inlineStr">
        <is>
          <t>[Dehkia] Aakman Temple</t>
        </is>
      </c>
      <c r="C83" t="inlineStr">
        <is>
          <t>valencia</t>
        </is>
      </c>
      <c r="D83" t="inlineStr">
        <is>
          <t>300</t>
        </is>
      </c>
      <c r="E83" t="inlineStr">
        <is>
          <t>400</t>
        </is>
      </c>
      <c r="F83" t="n">
        <v>1142</v>
      </c>
      <c r="G83" t="n">
        <v>1647</v>
      </c>
      <c r="H83" t="n">
        <v>53</v>
      </c>
      <c r="I83" t="inlineStr">
        <is>
          <t>Tainted Aakman's Token</t>
        </is>
      </c>
      <c r="J83" t="n">
        <v>8375</v>
      </c>
      <c r="K83" s="2" t="n"/>
      <c r="L83">
        <f>IF(K83="","",J83/K83)</f>
        <v/>
      </c>
      <c r="M83" t="inlineStr"/>
    </row>
    <row r="84">
      <c r="A84" t="n">
        <v>143</v>
      </c>
      <c r="B84" t="inlineStr">
        <is>
          <t>[Dehkia] Ash Forest</t>
        </is>
      </c>
      <c r="C84" t="inlineStr">
        <is>
          <t>kamasylvia</t>
        </is>
      </c>
      <c r="D84" t="inlineStr">
        <is>
          <t>325</t>
        </is>
      </c>
      <c r="E84" t="inlineStr">
        <is>
          <t>410</t>
        </is>
      </c>
      <c r="F84" t="n">
        <v>1477</v>
      </c>
      <c r="G84" t="n">
        <v>1896.3</v>
      </c>
      <c r="H84" t="n">
        <v>53</v>
      </c>
      <c r="I84" t="inlineStr">
        <is>
          <t>Tainted Specter's Cloth</t>
        </is>
      </c>
      <c r="J84" t="n">
        <v>7711.6</v>
      </c>
      <c r="K84" s="2" t="n"/>
      <c r="L84">
        <f>IF(K84="","",J84/K84)</f>
        <v/>
      </c>
      <c r="M84" t="inlineStr"/>
    </row>
    <row r="85">
      <c r="A85" t="n">
        <v>163</v>
      </c>
      <c r="B85" t="inlineStr">
        <is>
          <t>[Dehkia] Cadry Ruins</t>
        </is>
      </c>
      <c r="C85" t="inlineStr">
        <is>
          <t>valencia</t>
        </is>
      </c>
      <c r="D85" t="inlineStr">
        <is>
          <t>330</t>
        </is>
      </c>
      <c r="E85" t="inlineStr">
        <is>
          <t>400</t>
        </is>
      </c>
      <c r="F85" t="n">
        <v>626</v>
      </c>
      <c r="G85" t="n">
        <v>698.8</v>
      </c>
      <c r="H85" t="n">
        <v>52</v>
      </c>
      <c r="I85" t="inlineStr">
        <is>
          <t>Tainted Cadry's Token</t>
        </is>
      </c>
      <c r="J85" t="n">
        <v>10574</v>
      </c>
      <c r="K85" s="2" t="n"/>
      <c r="L85">
        <f>IF(K85="","",J85/K85)</f>
        <v/>
      </c>
      <c r="M85" t="inlineStr"/>
    </row>
    <row r="86">
      <c r="A86" t="n">
        <v>160</v>
      </c>
      <c r="B86" t="inlineStr">
        <is>
          <t>[Dehkia] Crescent Shrine</t>
        </is>
      </c>
      <c r="C86" t="inlineStr">
        <is>
          <t>valencia</t>
        </is>
      </c>
      <c r="D86" t="inlineStr">
        <is>
          <t>325</t>
        </is>
      </c>
      <c r="E86" t="inlineStr">
        <is>
          <t>400</t>
        </is>
      </c>
      <c r="F86" t="n">
        <v>310</v>
      </c>
      <c r="G86" t="n">
        <v>364.4</v>
      </c>
      <c r="H86" t="n">
        <v>42</v>
      </c>
      <c r="I86" t="inlineStr">
        <is>
          <t>Tainted Token of Crescent</t>
        </is>
      </c>
      <c r="J86" t="n">
        <v>10019</v>
      </c>
      <c r="K86" s="2" t="n"/>
      <c r="L86">
        <f>IF(K86="","",J86/K86)</f>
        <v/>
      </c>
      <c r="M86" t="inlineStr"/>
    </row>
    <row r="87">
      <c r="A87" t="n">
        <v>151</v>
      </c>
      <c r="B87" t="inlineStr">
        <is>
          <t>[Dehkia] Cyclops Land</t>
        </is>
      </c>
      <c r="C87" t="inlineStr">
        <is>
          <t>calpheon</t>
        </is>
      </c>
      <c r="D87" t="inlineStr">
        <is>
          <t>310</t>
        </is>
      </c>
      <c r="E87" t="inlineStr">
        <is>
          <t>400</t>
        </is>
      </c>
      <c r="F87" t="n">
        <v>173</v>
      </c>
      <c r="G87" t="n">
        <v>173</v>
      </c>
      <c r="H87" t="n">
        <v>43</v>
      </c>
      <c r="I87" t="inlineStr">
        <is>
          <t>Tainted Huge Spear</t>
        </is>
      </c>
      <c r="J87" t="n">
        <v>5008.5</v>
      </c>
      <c r="K87" s="2" t="n"/>
      <c r="L87">
        <f>IF(K87="","",J87/K87)</f>
        <v/>
      </c>
      <c r="M87" t="inlineStr"/>
    </row>
    <row r="88">
      <c r="A88" t="n">
        <v>198</v>
      </c>
      <c r="B88" t="inlineStr">
        <is>
          <t>[Dehkia] Gyfin Rhasia Temple (Upper)</t>
        </is>
      </c>
      <c r="C88" t="inlineStr">
        <is>
          <t>kamasylvia</t>
        </is>
      </c>
      <c r="D88" t="inlineStr">
        <is>
          <t>325</t>
        </is>
      </c>
      <c r="E88" t="inlineStr">
        <is>
          <t>400</t>
        </is>
      </c>
      <c r="F88" t="n">
        <v>1495</v>
      </c>
      <c r="G88" t="n">
        <v>1673.3</v>
      </c>
      <c r="H88" t="n">
        <v>38</v>
      </c>
      <c r="I88" t="inlineStr">
        <is>
          <t>Tainted Bronze Fragment</t>
        </is>
      </c>
      <c r="J88" t="n">
        <v>5829.1</v>
      </c>
      <c r="K88" s="2" t="n"/>
      <c r="L88">
        <f>IF(K88="","",J88/K88)</f>
        <v/>
      </c>
      <c r="M88" t="inlineStr"/>
    </row>
    <row r="89">
      <c r="A89" t="n">
        <v>156</v>
      </c>
      <c r="B89" t="inlineStr">
        <is>
          <t>[Dehkia] Hystria Ruins</t>
        </is>
      </c>
      <c r="C89" t="inlineStr">
        <is>
          <t>valencia</t>
        </is>
      </c>
      <c r="D89" t="inlineStr">
        <is>
          <t>300</t>
        </is>
      </c>
      <c r="E89" t="inlineStr">
        <is>
          <t>400</t>
        </is>
      </c>
      <c r="F89" t="n">
        <v>5697</v>
      </c>
      <c r="G89" t="n">
        <v>7816.2</v>
      </c>
      <c r="H89" t="n">
        <v>53</v>
      </c>
      <c r="I89" t="inlineStr">
        <is>
          <t>Tainted Ruins Fragment</t>
        </is>
      </c>
      <c r="J89" t="n">
        <v>8667.6</v>
      </c>
      <c r="K89" s="2" t="n"/>
      <c r="L89">
        <f>IF(K89="","",J89/K89)</f>
        <v/>
      </c>
      <c r="M89" t="inlineStr"/>
    </row>
    <row r="90">
      <c r="A90" t="n">
        <v>199</v>
      </c>
      <c r="B90" t="inlineStr">
        <is>
          <t>[Dehkia] Mirumok Ruins</t>
        </is>
      </c>
      <c r="C90" t="inlineStr">
        <is>
          <t>kamasylvia</t>
        </is>
      </c>
      <c r="D90" t="inlineStr">
        <is>
          <t>325</t>
        </is>
      </c>
      <c r="E90" t="inlineStr">
        <is>
          <t>400</t>
        </is>
      </c>
      <c r="F90" t="n">
        <v>3367</v>
      </c>
      <c r="G90" t="n">
        <v>3843.8</v>
      </c>
      <c r="H90" t="n">
        <v>39</v>
      </c>
      <c r="I90" t="inlineStr">
        <is>
          <t>Tainted Wood Fragment</t>
        </is>
      </c>
      <c r="J90" t="n">
        <v>6554.8</v>
      </c>
      <c r="K90" s="2" t="n"/>
      <c r="L90">
        <f>IF(K90="","",J90/K90)</f>
        <v/>
      </c>
      <c r="M90" t="inlineStr"/>
    </row>
    <row r="91">
      <c r="A91" t="n">
        <v>144</v>
      </c>
      <c r="B91" t="inlineStr">
        <is>
          <t>[Dehkia] Olun's Valley</t>
        </is>
      </c>
      <c r="C91" t="inlineStr">
        <is>
          <t>odyllita</t>
        </is>
      </c>
      <c r="D91" t="inlineStr">
        <is>
          <t>325</t>
        </is>
      </c>
      <c r="E91" t="inlineStr">
        <is>
          <t>400</t>
        </is>
      </c>
      <c r="F91" t="n">
        <v>45</v>
      </c>
      <c r="G91" t="n">
        <v>43.8</v>
      </c>
      <c r="H91" t="n">
        <v>27</v>
      </c>
      <c r="I91" t="inlineStr">
        <is>
          <t>Tainted Golem's Heart Fragment</t>
        </is>
      </c>
      <c r="J91" t="n">
        <v>1652.4</v>
      </c>
      <c r="K91" s="2" t="n"/>
      <c r="L91">
        <f>IF(K91="","",J91/K91)</f>
        <v/>
      </c>
      <c r="M91" t="inlineStr">
        <is>
          <t>low sample</t>
        </is>
      </c>
    </row>
    <row r="92">
      <c r="A92" t="n">
        <v>159</v>
      </c>
      <c r="B92" t="inlineStr">
        <is>
          <t>[Dehkia] Pila Ku Jail</t>
        </is>
      </c>
      <c r="C92" t="inlineStr">
        <is>
          <t>valencia</t>
        </is>
      </c>
      <c r="D92" t="inlineStr">
        <is>
          <t>300</t>
        </is>
      </c>
      <c r="E92" t="inlineStr">
        <is>
          <t>400</t>
        </is>
      </c>
      <c r="F92" t="n">
        <v>1962</v>
      </c>
      <c r="G92" t="n">
        <v>2583.9</v>
      </c>
      <c r="H92" t="n">
        <v>53</v>
      </c>
      <c r="I92" t="inlineStr">
        <is>
          <t>Tainted Token Piece</t>
        </is>
      </c>
      <c r="J92" t="n">
        <v>7802.2</v>
      </c>
      <c r="K92" s="2" t="n"/>
      <c r="L92">
        <f>IF(K92="","",J92/K92)</f>
        <v/>
      </c>
      <c r="M92" t="inlineStr"/>
    </row>
    <row r="93">
      <c r="A93" t="n">
        <v>158</v>
      </c>
      <c r="B93" t="inlineStr">
        <is>
          <t>[Dehkia] Roud Sulfur Mine</t>
        </is>
      </c>
      <c r="C93" t="inlineStr">
        <is>
          <t>valencia</t>
        </is>
      </c>
      <c r="D93" t="inlineStr">
        <is>
          <t>300</t>
        </is>
      </c>
      <c r="E93" t="inlineStr">
        <is>
          <t>400</t>
        </is>
      </c>
      <c r="F93" t="n">
        <v>3402</v>
      </c>
      <c r="G93" t="n">
        <v>4403.4</v>
      </c>
      <c r="H93" t="n">
        <v>53</v>
      </c>
      <c r="I93" t="inlineStr">
        <is>
          <t>Tainted Sulfur Fragment</t>
        </is>
      </c>
      <c r="J93" t="n">
        <v>9238.200000000001</v>
      </c>
      <c r="K93" s="2" t="n"/>
      <c r="L93">
        <f>IF(K93="","",J93/K93)</f>
        <v/>
      </c>
      <c r="M93" t="inlineStr"/>
    </row>
    <row r="94">
      <c r="A94" t="n">
        <v>146</v>
      </c>
      <c r="B94" t="inlineStr">
        <is>
          <t>[Dehkia] Thornwood Forest</t>
        </is>
      </c>
      <c r="C94" t="inlineStr">
        <is>
          <t>odyllita</t>
        </is>
      </c>
      <c r="D94" t="inlineStr">
        <is>
          <t>310</t>
        </is>
      </c>
      <c r="E94" t="inlineStr">
        <is>
          <t>400</t>
        </is>
      </c>
      <c r="F94" t="n">
        <v>4420</v>
      </c>
      <c r="G94" t="n">
        <v>5359.6</v>
      </c>
      <c r="H94" t="n">
        <v>53</v>
      </c>
      <c r="I94" t="inlineStr">
        <is>
          <t>Tainted Moonlight Spirit Powder</t>
        </is>
      </c>
      <c r="J94" t="n">
        <v>8193.200000000001</v>
      </c>
      <c r="K94" s="2" t="n"/>
      <c r="L94">
        <f>IF(K94="","",J94/K94)</f>
        <v/>
      </c>
      <c r="M94" t="inlineStr"/>
    </row>
    <row r="95">
      <c r="A95" t="n">
        <v>145</v>
      </c>
      <c r="B95" t="inlineStr">
        <is>
          <t>[Dehkia] Tunkuta</t>
        </is>
      </c>
      <c r="C95" t="inlineStr">
        <is>
          <t>odyllita</t>
        </is>
      </c>
      <c r="D95" t="inlineStr">
        <is>
          <t>310</t>
        </is>
      </c>
      <c r="E95" t="inlineStr">
        <is>
          <t>400</t>
        </is>
      </c>
      <c r="F95" t="n">
        <v>381</v>
      </c>
      <c r="G95" t="n">
        <v>401.6</v>
      </c>
      <c r="H95" t="n">
        <v>50</v>
      </c>
      <c r="I95" t="inlineStr">
        <is>
          <t>Tainted Broken Horn Fragment</t>
        </is>
      </c>
      <c r="J95" t="n">
        <v>7208.9</v>
      </c>
      <c r="K95" s="2" t="n"/>
      <c r="L95">
        <f>IF(K95="","",J95/K95)</f>
        <v/>
      </c>
      <c r="M95" t="inlineStr"/>
    </row>
    <row r="96">
      <c r="A96" t="n">
        <v>169</v>
      </c>
      <c r="B96" t="inlineStr">
        <is>
          <t>[Elvia] Orzekea</t>
        </is>
      </c>
      <c r="C96" t="inlineStr">
        <is>
          <t>odyllita</t>
        </is>
      </c>
      <c r="D96" t="inlineStr">
        <is>
          <t>350</t>
        </is>
      </c>
      <c r="E96" t="inlineStr">
        <is>
          <t>440</t>
        </is>
      </c>
      <c r="F96" t="n">
        <v>1795</v>
      </c>
      <c r="G96" t="n">
        <v>2242.4</v>
      </c>
      <c r="H96" t="n">
        <v>7</v>
      </c>
      <c r="I96" t="inlineStr">
        <is>
          <t>Thorn-Entwined Weapon Fragment</t>
        </is>
      </c>
      <c r="J96" t="n">
        <v>6829.8</v>
      </c>
      <c r="K96" s="2" t="n"/>
      <c r="L96">
        <f>IF(K96="","",J96/K96)</f>
        <v/>
      </c>
      <c r="M96" t="inlineStr"/>
    </row>
  </sheetData>
  <autoFilter ref="A1:M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spot_id</t>
        </is>
      </c>
      <c r="B1" s="1" t="inlineStr">
        <is>
          <t>spot</t>
        </is>
      </c>
      <c r="C1" s="1" t="inlineStr">
        <is>
          <t>item</t>
        </is>
      </c>
      <c r="D1" s="1" t="inlineStr">
        <is>
          <t>base_items_hr</t>
        </is>
      </c>
      <c r="E1" s="1" t="inlineStr">
        <is>
          <t>base_trash_hr</t>
        </is>
      </c>
      <c r="F1" s="1" t="inlineStr">
        <is>
          <t>per_1000_trash</t>
        </is>
      </c>
      <c r="G1" s="1" t="inlineStr">
        <is>
          <t>one_in_n_trash</t>
        </is>
      </c>
      <c r="H1" s="1" t="inlineStr">
        <is>
          <t>ci_low_per_1000</t>
        </is>
      </c>
      <c r="I1" s="1" t="inlineStr">
        <is>
          <t>ci_high_per_1000</t>
        </is>
      </c>
      <c r="J1" s="1" t="inlineStr">
        <is>
          <t>est_drops_observed_min</t>
        </is>
      </c>
      <c r="K1" s="1" t="inlineStr">
        <is>
          <t>trash_per_kill</t>
        </is>
      </c>
      <c r="L1" s="1" t="inlineStr">
        <is>
          <t>chance_per_kill_%</t>
        </is>
      </c>
      <c r="M1" s="1" t="inlineStr">
        <is>
          <t>one_in_n_kills</t>
        </is>
      </c>
      <c r="N1" s="1" t="inlineStr">
        <is>
          <t>flag</t>
        </is>
      </c>
    </row>
    <row r="2">
      <c r="A2" t="n">
        <v>1</v>
      </c>
      <c r="B2" t="inlineStr">
        <is>
          <t>(OLD) Sycraia (Lower)</t>
        </is>
      </c>
      <c r="C2" t="inlineStr">
        <is>
          <t>Mossy Ancient Ruins Fragment</t>
        </is>
      </c>
      <c r="D2" t="n">
        <v>144.08</v>
      </c>
      <c r="E2" t="n">
        <v>4135.6</v>
      </c>
      <c r="F2" s="3" t="n">
        <v>34.83895928039462</v>
      </c>
      <c r="G2" t="n">
        <v>29</v>
      </c>
      <c r="H2" s="3" t="n">
        <v>34.19845310863359</v>
      </c>
      <c r="I2" s="3" t="n">
        <v>35.48844757546504</v>
      </c>
      <c r="J2" t="n">
        <v>11262.3</v>
      </c>
      <c r="K2">
        <f>IF(IFERROR(INDEX(Spots!$K$2:$K$96,MATCH(A2,Spots!$A$2:$A$96,0)),"")="","",IFERROR(INDEX(Spots!$K$2:$K$96,MATCH(A2,Spots!$A$2:$A$96,0)),""))</f>
        <v/>
      </c>
      <c r="L2" s="3">
        <f>IF(OR(K2="",F2=""),"",F2/1000*K2*100)</f>
        <v/>
      </c>
      <c r="M2">
        <f>IF(OR(L2="",L2=0),"",ROUND(100/L2,0))</f>
        <v/>
      </c>
      <c r="N2" t="inlineStr"/>
    </row>
    <row r="3">
      <c r="A3" t="n">
        <v>1</v>
      </c>
      <c r="B3" t="inlineStr">
        <is>
          <t>(OLD) Sycraia (Lower)</t>
        </is>
      </c>
      <c r="C3" t="inlineStr">
        <is>
          <t>Black Stone</t>
        </is>
      </c>
      <c r="D3" t="n">
        <v>32.196</v>
      </c>
      <c r="E3" t="n">
        <v>4135.6</v>
      </c>
      <c r="F3" s="3" t="n">
        <v>7.78508559822033</v>
      </c>
      <c r="G3" t="n">
        <v>128</v>
      </c>
      <c r="H3" s="3" t="n">
        <v>7.483861296177493</v>
      </c>
      <c r="I3" s="3" t="n">
        <v>8.095323683022857</v>
      </c>
      <c r="J3" t="n">
        <v>2516.7</v>
      </c>
      <c r="K3">
        <f>IF(IFERROR(INDEX(Spots!$K$2:$K$96,MATCH(A3,Spots!$A$2:$A$96,0)),"")="","",IFERROR(INDEX(Spots!$K$2:$K$96,MATCH(A3,Spots!$A$2:$A$96,0)),""))</f>
        <v/>
      </c>
      <c r="L3" s="3">
        <f>IF(OR(K3="",F3=""),"",F3/1000*K3*100)</f>
        <v/>
      </c>
      <c r="M3">
        <f>IF(OR(L3="",L3=0),"",ROUND(100/L3,0))</f>
        <v/>
      </c>
      <c r="N3" t="inlineStr"/>
    </row>
    <row r="4">
      <c r="A4" t="n">
        <v>1</v>
      </c>
      <c r="B4" t="inlineStr">
        <is>
          <t>(OLD) Sycraia (Lower)</t>
        </is>
      </c>
      <c r="C4" t="inlineStr">
        <is>
          <t>Ancient Spirit Dust</t>
        </is>
      </c>
      <c r="D4" t="n">
        <v>22.205</v>
      </c>
      <c r="E4" t="n">
        <v>4135.6</v>
      </c>
      <c r="F4" s="3" t="n">
        <v>5.369233001257374</v>
      </c>
      <c r="G4" t="n">
        <v>186</v>
      </c>
      <c r="H4" s="3" t="n">
        <v>5.119575243887131</v>
      </c>
      <c r="I4" s="3" t="n">
        <v>5.627916757972404</v>
      </c>
      <c r="J4" t="n">
        <v>1735.7</v>
      </c>
      <c r="K4">
        <f>IF(IFERROR(INDEX(Spots!$K$2:$K$96,MATCH(A4,Spots!$A$2:$A$96,0)),"")="","",IFERROR(INDEX(Spots!$K$2:$K$96,MATCH(A4,Spots!$A$2:$A$96,0)),""))</f>
        <v/>
      </c>
      <c r="L4" s="3">
        <f>IF(OR(K4="",F4=""),"",F4/1000*K4*100)</f>
        <v/>
      </c>
      <c r="M4">
        <f>IF(OR(L4="",L4=0),"",ROUND(100/L4,0))</f>
        <v/>
      </c>
      <c r="N4" t="inlineStr"/>
    </row>
    <row r="5">
      <c r="A5" t="n">
        <v>1</v>
      </c>
      <c r="B5" t="inlineStr">
        <is>
          <t>(OLD) Sycraia (Lower)</t>
        </is>
      </c>
      <c r="C5" t="inlineStr">
        <is>
          <t>Abyssal Essence</t>
        </is>
      </c>
      <c r="D5" t="n">
        <v>10.698</v>
      </c>
      <c r="E5" t="n">
        <v>4135.6</v>
      </c>
      <c r="F5" s="3" t="n">
        <v>2.586807234742238</v>
      </c>
      <c r="G5" t="n">
        <v>387</v>
      </c>
      <c r="H5" s="3" t="n">
        <v>2.414422965777152</v>
      </c>
      <c r="I5" s="3" t="n">
        <v>2.768249153900698</v>
      </c>
      <c r="J5" t="n">
        <v>836.2</v>
      </c>
      <c r="K5">
        <f>IF(IFERROR(INDEX(Spots!$K$2:$K$96,MATCH(A5,Spots!$A$2:$A$96,0)),"")="","",IFERROR(INDEX(Spots!$K$2:$K$96,MATCH(A5,Spots!$A$2:$A$96,0)),""))</f>
        <v/>
      </c>
      <c r="L5" s="3">
        <f>IF(OR(K5="",F5=""),"",F5/1000*K5*100)</f>
        <v/>
      </c>
      <c r="M5">
        <f>IF(OR(L5="",L5=0),"",ROUND(100/L5,0))</f>
        <v/>
      </c>
      <c r="N5" t="inlineStr"/>
    </row>
    <row r="6">
      <c r="A6" t="n">
        <v>1</v>
      </c>
      <c r="B6" t="inlineStr">
        <is>
          <t>(OLD) Sycraia (Lower)</t>
        </is>
      </c>
      <c r="C6" t="inlineStr">
        <is>
          <t>Caphras Stone</t>
        </is>
      </c>
      <c r="D6" t="n">
        <v>8.556646000000001</v>
      </c>
      <c r="E6" t="n">
        <v>4135.6</v>
      </c>
      <c r="F6" s="3" t="n">
        <v>2.069021665538253</v>
      </c>
      <c r="G6" t="n">
        <v>483</v>
      </c>
      <c r="H6" s="3" t="n">
        <v>1.915165506665167</v>
      </c>
      <c r="I6" s="3" t="n">
        <v>2.231947657551181</v>
      </c>
      <c r="J6" t="n">
        <v>668.8</v>
      </c>
      <c r="K6">
        <f>IF(IFERROR(INDEX(Spots!$K$2:$K$96,MATCH(A6,Spots!$A$2:$A$96,0)),"")="","",IFERROR(INDEX(Spots!$K$2:$K$96,MATCH(A6,Spots!$A$2:$A$96,0)),""))</f>
        <v/>
      </c>
      <c r="L6" s="3">
        <f>IF(OR(K6="",F6=""),"",F6/1000*K6*100)</f>
        <v/>
      </c>
      <c r="M6">
        <f>IF(OR(L6="",L6=0),"",ROUND(100/L6,0))</f>
        <v/>
      </c>
      <c r="N6" t="inlineStr"/>
    </row>
    <row r="7">
      <c r="A7" t="n">
        <v>1</v>
      </c>
      <c r="B7" t="inlineStr">
        <is>
          <t>(OLD) Sycraia (Lower)</t>
        </is>
      </c>
      <c r="C7" t="inlineStr">
        <is>
          <t>Sealed Black Magic Crystal</t>
        </is>
      </c>
      <c r="D7" t="n">
        <v>4.728518</v>
      </c>
      <c r="E7" t="n">
        <v>4135.6</v>
      </c>
      <c r="F7" s="3" t="n">
        <v>1.143369281361834</v>
      </c>
      <c r="G7" t="n">
        <v>875</v>
      </c>
      <c r="H7" s="3" t="n">
        <v>1.029758398858217</v>
      </c>
      <c r="I7" s="3" t="n">
        <v>1.266089633116976</v>
      </c>
      <c r="J7" t="n">
        <v>369.6</v>
      </c>
      <c r="K7">
        <f>IF(IFERROR(INDEX(Spots!$K$2:$K$96,MATCH(A7,Spots!$A$2:$A$96,0)),"")="","",IFERROR(INDEX(Spots!$K$2:$K$96,MATCH(A7,Spots!$A$2:$A$96,0)),""))</f>
        <v/>
      </c>
      <c r="L7" s="3">
        <f>IF(OR(K7="",F7=""),"",F7/1000*K7*100)</f>
        <v/>
      </c>
      <c r="M7">
        <f>IF(OR(L7="",L7=0),"",ROUND(100/L7,0))</f>
        <v/>
      </c>
      <c r="N7" t="inlineStr"/>
    </row>
    <row r="8">
      <c r="A8" t="n">
        <v>1</v>
      </c>
      <c r="B8" t="inlineStr">
        <is>
          <t>(OLD) Sycraia (Lower)</t>
        </is>
      </c>
      <c r="C8" t="inlineStr">
        <is>
          <t>Traveler's Map</t>
        </is>
      </c>
      <c r="D8" t="n">
        <v>0.93055739</v>
      </c>
      <c r="E8" t="n">
        <v>4135.6</v>
      </c>
      <c r="F8" s="3" t="n">
        <v>0.2250114590385917</v>
      </c>
      <c r="G8" t="n">
        <v>4444</v>
      </c>
      <c r="H8" s="3" t="n">
        <v>0.1762833348909958</v>
      </c>
      <c r="I8" s="3" t="n">
        <v>0.2830389309313444</v>
      </c>
      <c r="J8" t="n">
        <v>72.7</v>
      </c>
      <c r="K8">
        <f>IF(IFERROR(INDEX(Spots!$K$2:$K$96,MATCH(A8,Spots!$A$2:$A$96,0)),"")="","",IFERROR(INDEX(Spots!$K$2:$K$96,MATCH(A8,Spots!$A$2:$A$96,0)),""))</f>
        <v/>
      </c>
      <c r="L8" s="3">
        <f>IF(OR(K8="",F8=""),"",F8/1000*K8*100)</f>
        <v/>
      </c>
      <c r="M8">
        <f>IF(OR(L8="",L8=0),"",ROUND(100/L8,0))</f>
        <v/>
      </c>
      <c r="N8" t="inlineStr"/>
    </row>
    <row r="9">
      <c r="A9" t="n">
        <v>1</v>
      </c>
      <c r="B9" t="inlineStr">
        <is>
          <t>(OLD) Sycraia (Lower)</t>
        </is>
      </c>
      <c r="C9" t="inlineStr">
        <is>
          <t>Tungrad Ring</t>
        </is>
      </c>
      <c r="D9" t="n">
        <v>0.30254188</v>
      </c>
      <c r="E9" t="n">
        <v>4135.6</v>
      </c>
      <c r="F9" s="3" t="n">
        <v>0.07315549859754326</v>
      </c>
      <c r="G9" t="n">
        <v>13670</v>
      </c>
      <c r="H9" s="3" t="n">
        <v>0.04668594745145782</v>
      </c>
      <c r="I9" s="3" t="n">
        <v>0.1091706182850063</v>
      </c>
      <c r="J9" t="n">
        <v>23.6</v>
      </c>
      <c r="K9">
        <f>IF(IFERROR(INDEX(Spots!$K$2:$K$96,MATCH(A9,Spots!$A$2:$A$96,0)),"")="","",IFERROR(INDEX(Spots!$K$2:$K$96,MATCH(A9,Spots!$A$2:$A$96,0)),""))</f>
        <v/>
      </c>
      <c r="L9" s="3">
        <f>IF(OR(K9="",F9=""),"",F9/1000*K9*100)</f>
        <v/>
      </c>
      <c r="M9">
        <f>IF(OR(L9="",L9=0),"",ROUND(100/L9,0))</f>
        <v/>
      </c>
      <c r="N9" t="inlineStr">
        <is>
          <t>low sample</t>
        </is>
      </c>
    </row>
    <row r="10">
      <c r="A10" t="n">
        <v>1</v>
      </c>
      <c r="B10" t="inlineStr">
        <is>
          <t>(OLD) Sycraia (Lower)</t>
        </is>
      </c>
      <c r="C10" t="inlineStr">
        <is>
          <t>Ancient Creature's Scale</t>
        </is>
      </c>
      <c r="D10" t="n">
        <v>0.2933546</v>
      </c>
      <c r="E10" t="n">
        <v>4135.6</v>
      </c>
      <c r="F10" s="3" t="n">
        <v>0.07093398781313473</v>
      </c>
      <c r="G10" t="n">
        <v>14098</v>
      </c>
      <c r="H10" s="3" t="n">
        <v>0.04491665757293638</v>
      </c>
      <c r="I10" s="3" t="n">
        <v>0.1065055349914343</v>
      </c>
      <c r="J10" t="n">
        <v>22.9</v>
      </c>
      <c r="K10">
        <f>IF(IFERROR(INDEX(Spots!$K$2:$K$96,MATCH(A10,Spots!$A$2:$A$96,0)),"")="","",IFERROR(INDEX(Spots!$K$2:$K$96,MATCH(A10,Spots!$A$2:$A$96,0)),""))</f>
        <v/>
      </c>
      <c r="L10" s="3">
        <f>IF(OR(K10="",F10=""),"",F10/1000*K10*100)</f>
        <v/>
      </c>
      <c r="M10">
        <f>IF(OR(L10="",L10=0),"",ROUND(100/L10,0))</f>
        <v/>
      </c>
      <c r="N10" t="inlineStr">
        <is>
          <t>low sample</t>
        </is>
      </c>
    </row>
    <row r="11">
      <c r="A11" t="n">
        <v>1</v>
      </c>
      <c r="B11" t="inlineStr">
        <is>
          <t>(OLD) Sycraia (Lower)</t>
        </is>
      </c>
      <c r="C11" t="inlineStr">
        <is>
          <t>Imperfect Lightstone of Earth</t>
        </is>
      </c>
      <c r="D11" t="n">
        <v>0.29146098</v>
      </c>
      <c r="E11" t="n">
        <v>4135.6</v>
      </c>
      <c r="F11" s="3" t="n">
        <v>0.07047610503917205</v>
      </c>
      <c r="G11" t="n">
        <v>14189</v>
      </c>
      <c r="H11" s="3" t="n">
        <v>0.0445528630176665</v>
      </c>
      <c r="I11" s="3" t="n">
        <v>0.1059553948532069</v>
      </c>
      <c r="J11" t="n">
        <v>22.8</v>
      </c>
      <c r="K11">
        <f>IF(IFERROR(INDEX(Spots!$K$2:$K$96,MATCH(A11,Spots!$A$2:$A$96,0)),"")="","",IFERROR(INDEX(Spots!$K$2:$K$96,MATCH(A11,Spots!$A$2:$A$96,0)),""))</f>
        <v/>
      </c>
      <c r="L11" s="3">
        <f>IF(OR(K11="",F11=""),"",F11/1000*K11*100)</f>
        <v/>
      </c>
      <c r="M11">
        <f>IF(OR(L11="",L11=0),"",ROUND(100/L11,0))</f>
        <v/>
      </c>
      <c r="N11" t="inlineStr">
        <is>
          <t>low sample</t>
        </is>
      </c>
    </row>
    <row r="12">
      <c r="A12" t="n">
        <v>1</v>
      </c>
      <c r="B12" t="inlineStr">
        <is>
          <t>(OLD) Sycraia (Lower)</t>
        </is>
      </c>
      <c r="C12" t="inlineStr">
        <is>
          <t>Imperfect Lightstone of Fire</t>
        </is>
      </c>
      <c r="D12" t="n">
        <v>0.11715738</v>
      </c>
      <c r="E12" t="n">
        <v>4135.6</v>
      </c>
      <c r="F12" s="3" t="n">
        <v>0.02832899216558661</v>
      </c>
      <c r="G12" t="n">
        <v>35300</v>
      </c>
      <c r="H12" s="3" t="n">
        <v>0.01303282924811708</v>
      </c>
      <c r="I12" s="3" t="n">
        <v>0.0534946025286816</v>
      </c>
      <c r="J12" t="n">
        <v>9.199999999999999</v>
      </c>
      <c r="K12">
        <f>IF(IFERROR(INDEX(Spots!$K$2:$K$96,MATCH(A12,Spots!$A$2:$A$96,0)),"")="","",IFERROR(INDEX(Spots!$K$2:$K$96,MATCH(A12,Spots!$A$2:$A$96,0)),""))</f>
        <v/>
      </c>
      <c r="L12" s="3">
        <f>IF(OR(K12="",F12=""),"",F12/1000*K12*100)</f>
        <v/>
      </c>
      <c r="M12">
        <f>IF(OR(L12="",L12=0),"",ROUND(100/L12,0))</f>
        <v/>
      </c>
      <c r="N12" t="inlineStr">
        <is>
          <t>low sample</t>
        </is>
      </c>
    </row>
    <row r="13">
      <c r="A13" t="n">
        <v>1</v>
      </c>
      <c r="B13" t="inlineStr">
        <is>
          <t>(OLD) Sycraia (Lower)</t>
        </is>
      </c>
      <c r="C13" t="inlineStr">
        <is>
          <t>Imperfect Lightstone of Wind</t>
        </is>
      </c>
      <c r="D13" t="n">
        <v>0.04765843</v>
      </c>
      <c r="E13" t="n">
        <v>4135.6</v>
      </c>
      <c r="F13" s="3" t="n">
        <v>0.01152394573943321</v>
      </c>
      <c r="G13" t="n">
        <v>86776</v>
      </c>
      <c r="H13" s="3" t="n">
        <v>0.002904606530603903</v>
      </c>
      <c r="I13" s="3" t="n">
        <v>0.03044255043292171</v>
      </c>
      <c r="J13" t="n">
        <v>3.7</v>
      </c>
      <c r="K13">
        <f>IF(IFERROR(INDEX(Spots!$K$2:$K$96,MATCH(A13,Spots!$A$2:$A$96,0)),"")="","",IFERROR(INDEX(Spots!$K$2:$K$96,MATCH(A13,Spots!$A$2:$A$96,0)),""))</f>
        <v/>
      </c>
      <c r="L13" s="3">
        <f>IF(OR(K13="",F13=""),"",F13/1000*K13*100)</f>
        <v/>
      </c>
      <c r="M13">
        <f>IF(OR(L13="",L13=0),"",ROUND(100/L13,0))</f>
        <v/>
      </c>
      <c r="N13" t="inlineStr">
        <is>
          <t>low sample</t>
        </is>
      </c>
    </row>
    <row r="14">
      <c r="A14" t="n">
        <v>1</v>
      </c>
      <c r="B14" t="inlineStr">
        <is>
          <t>(OLD) Sycraia (Lower)</t>
        </is>
      </c>
      <c r="C14" t="inlineStr">
        <is>
          <t>Any Artifact</t>
        </is>
      </c>
      <c r="D14" t="n">
        <v>0.04344856</v>
      </c>
      <c r="E14" t="n">
        <v>4135.6</v>
      </c>
      <c r="F14" s="3" t="n">
        <v>0.01050598703936551</v>
      </c>
      <c r="G14" t="n">
        <v>95184</v>
      </c>
      <c r="H14" s="3" t="n">
        <v>0.002417264640318944</v>
      </c>
      <c r="I14" s="3" t="n">
        <v>0.02894483816720425</v>
      </c>
      <c r="J14" t="n">
        <v>3.4</v>
      </c>
      <c r="K14">
        <f>IF(IFERROR(INDEX(Spots!$K$2:$K$96,MATCH(A14,Spots!$A$2:$A$96,0)),"")="","",IFERROR(INDEX(Spots!$K$2:$K$96,MATCH(A14,Spots!$A$2:$A$96,0)),""))</f>
        <v/>
      </c>
      <c r="L14" s="3">
        <f>IF(OR(K14="",F14=""),"",F14/1000*K14*100)</f>
        <v/>
      </c>
      <c r="M14">
        <f>IF(OR(L14="",L14=0),"",ROUND(100/L14,0))</f>
        <v/>
      </c>
      <c r="N14" t="inlineStr">
        <is>
          <t>low sample</t>
        </is>
      </c>
    </row>
    <row r="15">
      <c r="A15" t="n">
        <v>1</v>
      </c>
      <c r="B15" t="inlineStr">
        <is>
          <t>(OLD) Sycraia (Lower)</t>
        </is>
      </c>
      <c r="C15" t="inlineStr">
        <is>
          <t>Al Yurad's Ring Piece</t>
        </is>
      </c>
      <c r="D15" t="n">
        <v>0</v>
      </c>
      <c r="E15" t="n">
        <v>4135.6</v>
      </c>
      <c r="F15" s="3" t="n">
        <v>0</v>
      </c>
      <c r="H15" s="3" t="n">
        <v>0</v>
      </c>
      <c r="I15" s="3" t="n">
        <v>0.01141165244480759</v>
      </c>
      <c r="J15" t="n">
        <v>0</v>
      </c>
      <c r="K15">
        <f>IF(IFERROR(INDEX(Spots!$K$2:$K$96,MATCH(A15,Spots!$A$2:$A$96,0)),"")="","",IFERROR(INDEX(Spots!$K$2:$K$96,MATCH(A15,Spots!$A$2:$A$96,0)),""))</f>
        <v/>
      </c>
      <c r="L15" s="3">
        <f>IF(OR(K15="",F15=""),"",F15/1000*K15*100)</f>
        <v/>
      </c>
      <c r="M15">
        <f>IF(OR(L15="",L15=0),"",ROUND(100/L15,0))</f>
        <v/>
      </c>
      <c r="N15" t="inlineStr">
        <is>
          <t>no drops recorded</t>
        </is>
      </c>
    </row>
    <row r="16">
      <c r="A16" t="n">
        <v>32</v>
      </c>
      <c r="B16" t="inlineStr">
        <is>
          <t>(OLD) Sycraia (Upper)</t>
        </is>
      </c>
      <c r="C16" t="inlineStr">
        <is>
          <t>Black Stone</t>
        </is>
      </c>
      <c r="D16" t="n">
        <v>63.353</v>
      </c>
      <c r="E16" t="n">
        <v>16396</v>
      </c>
      <c r="F16" s="3" t="n">
        <v>3.863930226884606</v>
      </c>
      <c r="G16" t="n">
        <v>259</v>
      </c>
      <c r="H16" s="3" t="n">
        <v>3.813751830895875</v>
      </c>
      <c r="I16" s="3" t="n">
        <v>3.914603871553229</v>
      </c>
      <c r="J16" t="n">
        <v>22632.9</v>
      </c>
      <c r="K16">
        <f>IF(IFERROR(INDEX(Spots!$K$2:$K$96,MATCH(A16,Spots!$A$2:$A$96,0)),"")="","",IFERROR(INDEX(Spots!$K$2:$K$96,MATCH(A16,Spots!$A$2:$A$96,0)),""))</f>
        <v/>
      </c>
      <c r="L16" s="3">
        <f>IF(OR(K16="",F16=""),"",F16/1000*K16*100)</f>
        <v/>
      </c>
      <c r="M16">
        <f>IF(OR(L16="",L16=0),"",ROUND(100/L16,0))</f>
        <v/>
      </c>
      <c r="N16" t="inlineStr"/>
    </row>
    <row r="17">
      <c r="A17" t="n">
        <v>32</v>
      </c>
      <c r="B17" t="inlineStr">
        <is>
          <t>(OLD) Sycraia (Upper)</t>
        </is>
      </c>
      <c r="C17" t="inlineStr">
        <is>
          <t>Caphras Stone</t>
        </is>
      </c>
      <c r="D17" t="n">
        <v>34.13</v>
      </c>
      <c r="E17" t="n">
        <v>16396</v>
      </c>
      <c r="F17" s="3" t="n">
        <v>2.081605269577946</v>
      </c>
      <c r="G17" t="n">
        <v>480</v>
      </c>
      <c r="H17" s="3" t="n">
        <v>2.044818431217525</v>
      </c>
      <c r="I17" s="3" t="n">
        <v>2.118887758311072</v>
      </c>
      <c r="J17" t="n">
        <v>12192.9</v>
      </c>
      <c r="K17">
        <f>IF(IFERROR(INDEX(Spots!$K$2:$K$96,MATCH(A17,Spots!$A$2:$A$96,0)),"")="","",IFERROR(INDEX(Spots!$K$2:$K$96,MATCH(A17,Spots!$A$2:$A$96,0)),""))</f>
        <v/>
      </c>
      <c r="L17" s="3">
        <f>IF(OR(K17="",F17=""),"",F17/1000*K17*100)</f>
        <v/>
      </c>
      <c r="M17">
        <f>IF(OR(L17="",L17=0),"",ROUND(100/L17,0))</f>
        <v/>
      </c>
      <c r="N17" t="inlineStr"/>
    </row>
    <row r="18">
      <c r="A18" t="n">
        <v>32</v>
      </c>
      <c r="B18" t="inlineStr">
        <is>
          <t>(OLD) Sycraia (Upper)</t>
        </is>
      </c>
      <c r="C18" t="inlineStr">
        <is>
          <t>Ancient Spirit Dust</t>
        </is>
      </c>
      <c r="D18" t="n">
        <v>30.237</v>
      </c>
      <c r="E18" t="n">
        <v>16396</v>
      </c>
      <c r="F18" s="3" t="n">
        <v>1.844169309587704</v>
      </c>
      <c r="G18" t="n">
        <v>542</v>
      </c>
      <c r="H18" s="3" t="n">
        <v>1.809553530374435</v>
      </c>
      <c r="I18" s="3" t="n">
        <v>1.879280833376503</v>
      </c>
      <c r="J18" t="n">
        <v>10802.2</v>
      </c>
      <c r="K18">
        <f>IF(IFERROR(INDEX(Spots!$K$2:$K$96,MATCH(A18,Spots!$A$2:$A$96,0)),"")="","",IFERROR(INDEX(Spots!$K$2:$K$96,MATCH(A18,Spots!$A$2:$A$96,0)),""))</f>
        <v/>
      </c>
      <c r="L18" s="3">
        <f>IF(OR(K18="",F18=""),"",F18/1000*K18*100)</f>
        <v/>
      </c>
      <c r="M18">
        <f>IF(OR(L18="",L18=0),"",ROUND(100/L18,0))</f>
        <v/>
      </c>
      <c r="N18" t="inlineStr"/>
    </row>
    <row r="19">
      <c r="A19" t="n">
        <v>32</v>
      </c>
      <c r="B19" t="inlineStr">
        <is>
          <t>(OLD) Sycraia (Upper)</t>
        </is>
      </c>
      <c r="C19" t="inlineStr">
        <is>
          <t>Abyssal Essence</t>
        </is>
      </c>
      <c r="D19" t="n">
        <v>19.233</v>
      </c>
      <c r="E19" t="n">
        <v>16396</v>
      </c>
      <c r="F19" s="3" t="n">
        <v>1.173030007318858</v>
      </c>
      <c r="G19" t="n">
        <v>852</v>
      </c>
      <c r="H19" s="3" t="n">
        <v>1.145455286265018</v>
      </c>
      <c r="I19" s="3" t="n">
        <v>1.201100879658622</v>
      </c>
      <c r="J19" t="n">
        <v>6871</v>
      </c>
      <c r="K19">
        <f>IF(IFERROR(INDEX(Spots!$K$2:$K$96,MATCH(A19,Spots!$A$2:$A$96,0)),"")="","",IFERROR(INDEX(Spots!$K$2:$K$96,MATCH(A19,Spots!$A$2:$A$96,0)),""))</f>
        <v/>
      </c>
      <c r="L19" s="3">
        <f>IF(OR(K19="",F19=""),"",F19/1000*K19*100)</f>
        <v/>
      </c>
      <c r="M19">
        <f>IF(OR(L19="",L19=0),"",ROUND(100/L19,0))</f>
        <v/>
      </c>
      <c r="N19" t="inlineStr"/>
    </row>
    <row r="20">
      <c r="A20" t="n">
        <v>32</v>
      </c>
      <c r="B20" t="inlineStr">
        <is>
          <t>(OLD) Sycraia (Upper)</t>
        </is>
      </c>
      <c r="C20" t="inlineStr">
        <is>
          <t>Fragment of the Deep Sea</t>
        </is>
      </c>
      <c r="D20" t="n">
        <v>15.006</v>
      </c>
      <c r="E20" t="n">
        <v>16396</v>
      </c>
      <c r="F20" s="3" t="n">
        <v>0.9152232251768724</v>
      </c>
      <c r="G20" t="n">
        <v>1093</v>
      </c>
      <c r="H20" s="3" t="n">
        <v>0.8908853837540913</v>
      </c>
      <c r="I20" s="3" t="n">
        <v>0.9400574830530345</v>
      </c>
      <c r="J20" t="n">
        <v>5360.9</v>
      </c>
      <c r="K20">
        <f>IF(IFERROR(INDEX(Spots!$K$2:$K$96,MATCH(A20,Spots!$A$2:$A$96,0)),"")="","",IFERROR(INDEX(Spots!$K$2:$K$96,MATCH(A20,Spots!$A$2:$A$96,0)),""))</f>
        <v/>
      </c>
      <c r="L20" s="3">
        <f>IF(OR(K20="",F20=""),"",F20/1000*K20*100)</f>
        <v/>
      </c>
      <c r="M20">
        <f>IF(OR(L20="",L20=0),"",ROUND(100/L20,0))</f>
        <v/>
      </c>
      <c r="N20" t="inlineStr"/>
    </row>
    <row r="21">
      <c r="A21" t="n">
        <v>32</v>
      </c>
      <c r="B21" t="inlineStr">
        <is>
          <t>(OLD) Sycraia (Upper)</t>
        </is>
      </c>
      <c r="C21" t="inlineStr">
        <is>
          <t>Mass of Pure Magic</t>
        </is>
      </c>
      <c r="D21" t="n">
        <v>3.720084</v>
      </c>
      <c r="E21" t="n">
        <v>16396</v>
      </c>
      <c r="F21" s="3" t="n">
        <v>0.2268897292022444</v>
      </c>
      <c r="G21" t="n">
        <v>4407</v>
      </c>
      <c r="H21" s="3" t="n">
        <v>0.2148536015931518</v>
      </c>
      <c r="I21" s="3" t="n">
        <v>0.2394245567385575</v>
      </c>
      <c r="J21" t="n">
        <v>1329</v>
      </c>
      <c r="K21">
        <f>IF(IFERROR(INDEX(Spots!$K$2:$K$96,MATCH(A21,Spots!$A$2:$A$96,0)),"")="","",IFERROR(INDEX(Spots!$K$2:$K$96,MATCH(A21,Spots!$A$2:$A$96,0)),""))</f>
        <v/>
      </c>
      <c r="L21" s="3">
        <f>IF(OR(K21="",F21=""),"",F21/1000*K21*100)</f>
        <v/>
      </c>
      <c r="M21">
        <f>IF(OR(L21="",L21=0),"",ROUND(100/L21,0))</f>
        <v/>
      </c>
      <c r="N21" t="inlineStr"/>
    </row>
    <row r="22">
      <c r="A22" t="n">
        <v>32</v>
      </c>
      <c r="B22" t="inlineStr">
        <is>
          <t>(OLD) Sycraia (Upper)</t>
        </is>
      </c>
      <c r="C22" t="inlineStr">
        <is>
          <t>Sealed Black Magic Crystal</t>
        </is>
      </c>
      <c r="D22" t="n">
        <v>3.456963</v>
      </c>
      <c r="E22" t="n">
        <v>16396</v>
      </c>
      <c r="F22" s="3" t="n">
        <v>0.2108418516711393</v>
      </c>
      <c r="G22" t="n">
        <v>4743</v>
      </c>
      <c r="H22" s="3" t="n">
        <v>0.1992450620270104</v>
      </c>
      <c r="I22" s="3" t="n">
        <v>0.2229375105713474</v>
      </c>
      <c r="J22" t="n">
        <v>1235</v>
      </c>
      <c r="K22">
        <f>IF(IFERROR(INDEX(Spots!$K$2:$K$96,MATCH(A22,Spots!$A$2:$A$96,0)),"")="","",IFERROR(INDEX(Spots!$K$2:$K$96,MATCH(A22,Spots!$A$2:$A$96,0)),""))</f>
        <v/>
      </c>
      <c r="L22" s="3">
        <f>IF(OR(K22="",F22=""),"",F22/1000*K22*100)</f>
        <v/>
      </c>
      <c r="M22">
        <f>IF(OR(L22="",L22=0),"",ROUND(100/L22,0))</f>
        <v/>
      </c>
      <c r="N22" t="inlineStr"/>
    </row>
    <row r="23">
      <c r="A23" t="n">
        <v>32</v>
      </c>
      <c r="B23" t="inlineStr">
        <is>
          <t>(OLD) Sycraia (Upper)</t>
        </is>
      </c>
      <c r="C23" t="inlineStr">
        <is>
          <t>Any Artifact</t>
        </is>
      </c>
      <c r="D23" t="n">
        <v>0.73617915</v>
      </c>
      <c r="E23" t="n">
        <v>16396</v>
      </c>
      <c r="F23" s="3" t="n">
        <v>0.04489992376189314</v>
      </c>
      <c r="G23" t="n">
        <v>22272</v>
      </c>
      <c r="H23" s="3" t="n">
        <v>0.03963666204132559</v>
      </c>
      <c r="I23" s="3" t="n">
        <v>0.05066749723697124</v>
      </c>
      <c r="J23" t="n">
        <v>263</v>
      </c>
      <c r="K23">
        <f>IF(IFERROR(INDEX(Spots!$K$2:$K$96,MATCH(A23,Spots!$A$2:$A$96,0)),"")="","",IFERROR(INDEX(Spots!$K$2:$K$96,MATCH(A23,Spots!$A$2:$A$96,0)),""))</f>
        <v/>
      </c>
      <c r="L23" s="3">
        <f>IF(OR(K23="",F23=""),"",F23/1000*K23*100)</f>
        <v/>
      </c>
      <c r="M23">
        <f>IF(OR(L23="",L23=0),"",ROUND(100/L23,0))</f>
        <v/>
      </c>
      <c r="N23" t="inlineStr"/>
    </row>
    <row r="24">
      <c r="A24" t="n">
        <v>32</v>
      </c>
      <c r="B24" t="inlineStr">
        <is>
          <t>(OLD) Sycraia (Upper)</t>
        </is>
      </c>
      <c r="C24" t="inlineStr">
        <is>
          <t>Ancient Creature's Scale</t>
        </is>
      </c>
      <c r="D24" t="n">
        <v>0.53743877</v>
      </c>
      <c r="E24" t="n">
        <v>16396</v>
      </c>
      <c r="F24" s="3" t="n">
        <v>0.03277865150036594</v>
      </c>
      <c r="G24" t="n">
        <v>30508</v>
      </c>
      <c r="H24" s="3" t="n">
        <v>0.02830562785217508</v>
      </c>
      <c r="I24" s="3" t="n">
        <v>0.03775769033639352</v>
      </c>
      <c r="J24" t="n">
        <v>192</v>
      </c>
      <c r="K24">
        <f>IF(IFERROR(INDEX(Spots!$K$2:$K$96,MATCH(A24,Spots!$A$2:$A$96,0)),"")="","",IFERROR(INDEX(Spots!$K$2:$K$96,MATCH(A24,Spots!$A$2:$A$96,0)),""))</f>
        <v/>
      </c>
      <c r="L24" s="3">
        <f>IF(OR(K24="",F24=""),"",F24/1000*K24*100)</f>
        <v/>
      </c>
      <c r="M24">
        <f>IF(OR(L24="",L24=0),"",ROUND(100/L24,0))</f>
        <v/>
      </c>
      <c r="N24" t="inlineStr"/>
    </row>
    <row r="25">
      <c r="A25" t="n">
        <v>32</v>
      </c>
      <c r="B25" t="inlineStr">
        <is>
          <t>(OLD) Sycraia (Upper)</t>
        </is>
      </c>
      <c r="C25" t="inlineStr">
        <is>
          <t>Imperfect Lightstone of Wind</t>
        </is>
      </c>
      <c r="D25" t="n">
        <v>0.53463961</v>
      </c>
      <c r="E25" t="n">
        <v>16396</v>
      </c>
      <c r="F25" s="3" t="n">
        <v>0.03260792937301781</v>
      </c>
      <c r="G25" t="n">
        <v>30667</v>
      </c>
      <c r="H25" s="3" t="n">
        <v>0.02814700042461838</v>
      </c>
      <c r="I25" s="3" t="n">
        <v>0.03757490401740708</v>
      </c>
      <c r="J25" t="n">
        <v>191</v>
      </c>
      <c r="K25">
        <f>IF(IFERROR(INDEX(Spots!$K$2:$K$96,MATCH(A25,Spots!$A$2:$A$96,0)),"")="","",IFERROR(INDEX(Spots!$K$2:$K$96,MATCH(A25,Spots!$A$2:$A$96,0)),""))</f>
        <v/>
      </c>
      <c r="L25" s="3">
        <f>IF(OR(K25="",F25=""),"",F25/1000*K25*100)</f>
        <v/>
      </c>
      <c r="M25">
        <f>IF(OR(L25="",L25=0),"",ROUND(100/L25,0))</f>
        <v/>
      </c>
      <c r="N25" t="inlineStr"/>
    </row>
    <row r="26">
      <c r="A26" t="n">
        <v>32</v>
      </c>
      <c r="B26" t="inlineStr">
        <is>
          <t>(OLD) Sycraia (Upper)</t>
        </is>
      </c>
      <c r="C26" t="inlineStr">
        <is>
          <t>Tungrad Ring</t>
        </is>
      </c>
      <c r="D26" t="n">
        <v>0.51784465</v>
      </c>
      <c r="E26" t="n">
        <v>16396</v>
      </c>
      <c r="F26" s="3" t="n">
        <v>0.03158359660892901</v>
      </c>
      <c r="G26" t="n">
        <v>31662</v>
      </c>
      <c r="H26" s="3" t="n">
        <v>0.02719591100126414</v>
      </c>
      <c r="I26" s="3" t="n">
        <v>0.03647751606065389</v>
      </c>
      <c r="J26" t="n">
        <v>185</v>
      </c>
      <c r="K26">
        <f>IF(IFERROR(INDEX(Spots!$K$2:$K$96,MATCH(A26,Spots!$A$2:$A$96,0)),"")="","",IFERROR(INDEX(Spots!$K$2:$K$96,MATCH(A26,Spots!$A$2:$A$96,0)),""))</f>
        <v/>
      </c>
      <c r="L26" s="3">
        <f>IF(OR(K26="",F26=""),"",F26/1000*K26*100)</f>
        <v/>
      </c>
      <c r="M26">
        <f>IF(OR(L26="",L26=0),"",ROUND(100/L26,0))</f>
        <v/>
      </c>
      <c r="N26" t="inlineStr"/>
    </row>
    <row r="27">
      <c r="A27" t="n">
        <v>32</v>
      </c>
      <c r="B27" t="inlineStr">
        <is>
          <t>(OLD) Sycraia (Upper)</t>
        </is>
      </c>
      <c r="C27" t="inlineStr">
        <is>
          <t>Specter's Energy</t>
        </is>
      </c>
      <c r="D27" t="n">
        <v>0.34429671</v>
      </c>
      <c r="E27" t="n">
        <v>16396</v>
      </c>
      <c r="F27" s="3" t="n">
        <v>0.02099882349353501</v>
      </c>
      <c r="G27" t="n">
        <v>47622</v>
      </c>
      <c r="H27" s="3" t="n">
        <v>0.01745172999718358</v>
      </c>
      <c r="I27" s="3" t="n">
        <v>0.02505482894972283</v>
      </c>
      <c r="J27" t="n">
        <v>123</v>
      </c>
      <c r="K27">
        <f>IF(IFERROR(INDEX(Spots!$K$2:$K$96,MATCH(A27,Spots!$A$2:$A$96,0)),"")="","",IFERROR(INDEX(Spots!$K$2:$K$96,MATCH(A27,Spots!$A$2:$A$96,0)),""))</f>
        <v/>
      </c>
      <c r="L27" s="3">
        <f>IF(OR(K27="",F27=""),"",F27/1000*K27*100)</f>
        <v/>
      </c>
      <c r="M27">
        <f>IF(OR(L27="",L27=0),"",ROUND(100/L27,0))</f>
        <v/>
      </c>
      <c r="N27" t="inlineStr"/>
    </row>
    <row r="28">
      <c r="A28" t="n">
        <v>32</v>
      </c>
      <c r="B28" t="inlineStr">
        <is>
          <t>(OLD) Sycraia (Upper)</t>
        </is>
      </c>
      <c r="C28" t="inlineStr">
        <is>
          <t>Sycraia Underwater Ruins Paint</t>
        </is>
      </c>
      <c r="D28" t="n">
        <v>0.26592022</v>
      </c>
      <c r="E28" t="n">
        <v>16396</v>
      </c>
      <c r="F28" s="3" t="n">
        <v>0.01621860331788241</v>
      </c>
      <c r="G28" t="n">
        <v>61658</v>
      </c>
      <c r="H28" s="3" t="n">
        <v>0.01312143468119989</v>
      </c>
      <c r="I28" s="3" t="n">
        <v>0.01982666851265256</v>
      </c>
      <c r="J28" t="n">
        <v>95</v>
      </c>
      <c r="K28">
        <f>IF(IFERROR(INDEX(Spots!$K$2:$K$96,MATCH(A28,Spots!$A$2:$A$96,0)),"")="","",IFERROR(INDEX(Spots!$K$2:$K$96,MATCH(A28,Spots!$A$2:$A$96,0)),""))</f>
        <v/>
      </c>
      <c r="L28" s="3">
        <f>IF(OR(K28="",F28=""),"",F28/1000*K28*100)</f>
        <v/>
      </c>
      <c r="M28">
        <f>IF(OR(L28="",L28=0),"",ROUND(100/L28,0))</f>
        <v/>
      </c>
      <c r="N28" t="inlineStr"/>
    </row>
    <row r="29">
      <c r="A29" t="n">
        <v>32</v>
      </c>
      <c r="B29" t="inlineStr">
        <is>
          <t>(OLD) Sycraia (Upper)</t>
        </is>
      </c>
      <c r="C29" t="inlineStr">
        <is>
          <t>Imperfect Lightstone of Earth</t>
        </is>
      </c>
      <c r="D29" t="n">
        <v>0.10076977</v>
      </c>
      <c r="E29" t="n">
        <v>16396</v>
      </c>
      <c r="F29" s="3" t="n">
        <v>0.006145997194437668</v>
      </c>
      <c r="G29" t="n">
        <v>162708</v>
      </c>
      <c r="H29" s="3" t="n">
        <v>0.004303952629482813</v>
      </c>
      <c r="I29" s="3" t="n">
        <v>0.008508948375062896</v>
      </c>
      <c r="J29" t="n">
        <v>36</v>
      </c>
      <c r="K29">
        <f>IF(IFERROR(INDEX(Spots!$K$2:$K$96,MATCH(A29,Spots!$A$2:$A$96,0)),"")="","",IFERROR(INDEX(Spots!$K$2:$K$96,MATCH(A29,Spots!$A$2:$A$96,0)),""))</f>
        <v/>
      </c>
      <c r="L29" s="3">
        <f>IF(OR(K29="",F29=""),"",F29/1000*K29*100)</f>
        <v/>
      </c>
      <c r="M29">
        <f>IF(OR(L29="",L29=0),"",ROUND(100/L29,0))</f>
        <v/>
      </c>
      <c r="N29" t="inlineStr"/>
    </row>
    <row r="30">
      <c r="A30" t="n">
        <v>32</v>
      </c>
      <c r="B30" t="inlineStr">
        <is>
          <t>(OLD) Sycraia (Upper)</t>
        </is>
      </c>
      <c r="C30" t="inlineStr">
        <is>
          <t>Imperfect Lightstone of Fire</t>
        </is>
      </c>
      <c r="D30" t="n">
        <v>0.07837648999999999</v>
      </c>
      <c r="E30" t="n">
        <v>16396</v>
      </c>
      <c r="F30" s="3" t="n">
        <v>0.004780220175652597</v>
      </c>
      <c r="G30" t="n">
        <v>209195</v>
      </c>
      <c r="H30" s="3" t="n">
        <v>0.003175695173690206</v>
      </c>
      <c r="I30" s="3" t="n">
        <v>0.006909048802751719</v>
      </c>
      <c r="J30" t="n">
        <v>28</v>
      </c>
      <c r="K30">
        <f>IF(IFERROR(INDEX(Spots!$K$2:$K$96,MATCH(A30,Spots!$A$2:$A$96,0)),"")="","",IFERROR(INDEX(Spots!$K$2:$K$96,MATCH(A30,Spots!$A$2:$A$96,0)),""))</f>
        <v/>
      </c>
      <c r="L30" s="3">
        <f>IF(OR(K30="",F30=""),"",F30/1000*K30*100)</f>
        <v/>
      </c>
      <c r="M30">
        <f>IF(OR(L30="",L30=0),"",ROUND(100/L30,0))</f>
        <v/>
      </c>
      <c r="N30" t="inlineStr">
        <is>
          <t>low sample</t>
        </is>
      </c>
    </row>
    <row r="31">
      <c r="A31" t="n">
        <v>32</v>
      </c>
      <c r="B31" t="inlineStr">
        <is>
          <t>(OLD) Sycraia (Upper)</t>
        </is>
      </c>
      <c r="C31" t="inlineStr">
        <is>
          <t>Al Yurad's Ring Piece</t>
        </is>
      </c>
      <c r="D31" t="n">
        <v>0.01679496</v>
      </c>
      <c r="E31" t="n">
        <v>16396</v>
      </c>
      <c r="F31" s="3" t="n">
        <v>0.001024332764088802</v>
      </c>
      <c r="G31" t="n">
        <v>976245</v>
      </c>
      <c r="H31" s="3" t="n">
        <v>0.0003740420426834985</v>
      </c>
      <c r="I31" s="3" t="n">
        <v>0.002229613176977189</v>
      </c>
      <c r="J31" t="n">
        <v>6</v>
      </c>
      <c r="K31">
        <f>IF(IFERROR(INDEX(Spots!$K$2:$K$96,MATCH(A31,Spots!$A$2:$A$96,0)),"")="","",IFERROR(INDEX(Spots!$K$2:$K$96,MATCH(A31,Spots!$A$2:$A$96,0)),""))</f>
        <v/>
      </c>
      <c r="L31" s="3">
        <f>IF(OR(K31="",F31=""),"",F31/1000*K31*100)</f>
        <v/>
      </c>
      <c r="M31">
        <f>IF(OR(L31="",L31=0),"",ROUND(100/L31,0))</f>
        <v/>
      </c>
      <c r="N31" t="inlineStr">
        <is>
          <t>low sample</t>
        </is>
      </c>
    </row>
    <row r="32">
      <c r="A32" t="n">
        <v>32</v>
      </c>
      <c r="B32" t="inlineStr">
        <is>
          <t>(OLD) Sycraia (Upper)</t>
        </is>
      </c>
      <c r="C32" t="inlineStr">
        <is>
          <t>Great Marni's Stone (Sycraia Upper Zone)</t>
        </is>
      </c>
      <c r="D32" t="n">
        <v>0.00279916</v>
      </c>
      <c r="E32" t="n">
        <v>16396</v>
      </c>
      <c r="F32" s="3" t="n">
        <v>0.0001707221273481337</v>
      </c>
      <c r="G32" t="n">
        <v>5857472</v>
      </c>
      <c r="H32" s="3" t="n">
        <v>2.231360035059728e-06</v>
      </c>
      <c r="I32" s="3" t="n">
        <v>0.0009498734475602244</v>
      </c>
      <c r="J32" t="n">
        <v>1</v>
      </c>
      <c r="K32">
        <f>IF(IFERROR(INDEX(Spots!$K$2:$K$96,MATCH(A32,Spots!$A$2:$A$96,0)),"")="","",IFERROR(INDEX(Spots!$K$2:$K$96,MATCH(A32,Spots!$A$2:$A$96,0)),""))</f>
        <v/>
      </c>
      <c r="L32" s="3">
        <f>IF(OR(K32="",F32=""),"",F32/1000*K32*100)</f>
        <v/>
      </c>
      <c r="M32">
        <f>IF(OR(L32="",L32=0),"",ROUND(100/L32,0))</f>
        <v/>
      </c>
      <c r="N32" t="inlineStr">
        <is>
          <t>low sample</t>
        </is>
      </c>
    </row>
    <row r="33">
      <c r="A33" t="n">
        <v>6</v>
      </c>
      <c r="B33" t="inlineStr">
        <is>
          <t>Aakman Temple</t>
        </is>
      </c>
      <c r="C33" t="inlineStr">
        <is>
          <t>Black Stone</t>
        </is>
      </c>
      <c r="D33" t="n">
        <v>34.338</v>
      </c>
      <c r="E33" t="n">
        <v>7885.3</v>
      </c>
      <c r="F33" s="3" t="n">
        <v>4.354685300495859</v>
      </c>
      <c r="G33" t="n">
        <v>230</v>
      </c>
      <c r="H33" s="3" t="n">
        <v>4.179825154555746</v>
      </c>
      <c r="I33" s="3" t="n">
        <v>4.534981080484727</v>
      </c>
      <c r="J33" t="n">
        <v>2335</v>
      </c>
      <c r="K33">
        <f>IF(IFERROR(INDEX(Spots!$K$2:$K$96,MATCH(A33,Spots!$A$2:$A$96,0)),"")="","",IFERROR(INDEX(Spots!$K$2:$K$96,MATCH(A33,Spots!$A$2:$A$96,0)),""))</f>
        <v/>
      </c>
      <c r="L33" s="3">
        <f>IF(OR(K33="",F33=""),"",F33/1000*K33*100)</f>
        <v/>
      </c>
      <c r="M33">
        <f>IF(OR(L33="",L33=0),"",ROUND(100/L33,0))</f>
        <v/>
      </c>
      <c r="N33" t="inlineStr"/>
    </row>
    <row r="34">
      <c r="A34" t="n">
        <v>6</v>
      </c>
      <c r="B34" t="inlineStr">
        <is>
          <t>Aakman Temple</t>
        </is>
      </c>
      <c r="C34" t="inlineStr">
        <is>
          <t>Caphras Stone</t>
        </is>
      </c>
      <c r="D34" t="n">
        <v>11.261</v>
      </c>
      <c r="E34" t="n">
        <v>7885.3</v>
      </c>
      <c r="F34" s="3" t="n">
        <v>1.428100389332048</v>
      </c>
      <c r="G34" t="n">
        <v>700</v>
      </c>
      <c r="H34" s="3" t="n">
        <v>1.328725800119068</v>
      </c>
      <c r="I34" s="3" t="n">
        <v>1.532938480803438</v>
      </c>
      <c r="J34" t="n">
        <v>765.7</v>
      </c>
      <c r="K34">
        <f>IF(IFERROR(INDEX(Spots!$K$2:$K$96,MATCH(A34,Spots!$A$2:$A$96,0)),"")="","",IFERROR(INDEX(Spots!$K$2:$K$96,MATCH(A34,Spots!$A$2:$A$96,0)),""))</f>
        <v/>
      </c>
      <c r="L34" s="3">
        <f>IF(OR(K34="",F34=""),"",F34/1000*K34*100)</f>
        <v/>
      </c>
      <c r="M34">
        <f>IF(OR(L34="",L34=0),"",ROUND(100/L34,0))</f>
        <v/>
      </c>
      <c r="N34" t="inlineStr"/>
    </row>
    <row r="35">
      <c r="A35" t="n">
        <v>6</v>
      </c>
      <c r="B35" t="inlineStr">
        <is>
          <t>Aakman Temple</t>
        </is>
      </c>
      <c r="C35" t="inlineStr">
        <is>
          <t>Scroll Written in Ancient Language</t>
        </is>
      </c>
      <c r="D35" t="n">
        <v>10.395</v>
      </c>
      <c r="E35" t="n">
        <v>7885.3</v>
      </c>
      <c r="F35" s="3" t="n">
        <v>1.318275778981142</v>
      </c>
      <c r="G35" t="n">
        <v>759</v>
      </c>
      <c r="H35" s="3" t="n">
        <v>1.222868798608084</v>
      </c>
      <c r="I35" s="3" t="n">
        <v>1.419148913243254</v>
      </c>
      <c r="J35" t="n">
        <v>706.9</v>
      </c>
      <c r="K35">
        <f>IF(IFERROR(INDEX(Spots!$K$2:$K$96,MATCH(A35,Spots!$A$2:$A$96,0)),"")="","",IFERROR(INDEX(Spots!$K$2:$K$96,MATCH(A35,Spots!$A$2:$A$96,0)),""))</f>
        <v/>
      </c>
      <c r="L35" s="3">
        <f>IF(OR(K35="",F35=""),"",F35/1000*K35*100)</f>
        <v/>
      </c>
      <c r="M35">
        <f>IF(OR(L35="",L35=0),"",ROUND(100/L35,0))</f>
        <v/>
      </c>
      <c r="N35" t="inlineStr"/>
    </row>
    <row r="36">
      <c r="A36" t="n">
        <v>6</v>
      </c>
      <c r="B36" t="inlineStr">
        <is>
          <t>Aakman Temple</t>
        </is>
      </c>
      <c r="C36" t="inlineStr">
        <is>
          <t>Sealed Black Magic Crystal</t>
        </is>
      </c>
      <c r="D36" t="n">
        <v>2.845403</v>
      </c>
      <c r="E36" t="n">
        <v>7885.3</v>
      </c>
      <c r="F36" s="3" t="n">
        <v>0.3608490482289831</v>
      </c>
      <c r="G36" t="n">
        <v>2771</v>
      </c>
      <c r="H36" s="3" t="n">
        <v>0.3117897043899103</v>
      </c>
      <c r="I36" s="3" t="n">
        <v>0.4154356278254297</v>
      </c>
      <c r="J36" t="n">
        <v>193.5</v>
      </c>
      <c r="K36">
        <f>IF(IFERROR(INDEX(Spots!$K$2:$K$96,MATCH(A36,Spots!$A$2:$A$96,0)),"")="","",IFERROR(INDEX(Spots!$K$2:$K$96,MATCH(A36,Spots!$A$2:$A$96,0)),""))</f>
        <v/>
      </c>
      <c r="L36" s="3">
        <f>IF(OR(K36="",F36=""),"",F36/1000*K36*100)</f>
        <v/>
      </c>
      <c r="M36">
        <f>IF(OR(L36="",L36=0),"",ROUND(100/L36,0))</f>
        <v/>
      </c>
      <c r="N36" t="inlineStr"/>
    </row>
    <row r="37">
      <c r="A37" t="n">
        <v>6</v>
      </c>
      <c r="B37" t="inlineStr">
        <is>
          <t>Aakman Temple</t>
        </is>
      </c>
      <c r="C37" t="inlineStr">
        <is>
          <t>Ancient Spirit Dust</t>
        </is>
      </c>
      <c r="D37" t="n">
        <v>2.389619</v>
      </c>
      <c r="E37" t="n">
        <v>7885.3</v>
      </c>
      <c r="F37" s="3" t="n">
        <v>0.3030473158915958</v>
      </c>
      <c r="G37" t="n">
        <v>3300</v>
      </c>
      <c r="H37" s="3" t="n">
        <v>0.2582396109372885</v>
      </c>
      <c r="I37" s="3" t="n">
        <v>0.3533938213412919</v>
      </c>
      <c r="J37" t="n">
        <v>162.5</v>
      </c>
      <c r="K37">
        <f>IF(IFERROR(INDEX(Spots!$K$2:$K$96,MATCH(A37,Spots!$A$2:$A$96,0)),"")="","",IFERROR(INDEX(Spots!$K$2:$K$96,MATCH(A37,Spots!$A$2:$A$96,0)),""))</f>
        <v/>
      </c>
      <c r="L37" s="3">
        <f>IF(OR(K37="",F37=""),"",F37/1000*K37*100)</f>
        <v/>
      </c>
      <c r="M37">
        <f>IF(OR(L37="",L37=0),"",ROUND(100/L37,0))</f>
        <v/>
      </c>
      <c r="N37" t="inlineStr"/>
    </row>
    <row r="38">
      <c r="A38" t="n">
        <v>6</v>
      </c>
      <c r="B38" t="inlineStr">
        <is>
          <t>Aakman Temple</t>
        </is>
      </c>
      <c r="C38" t="inlineStr">
        <is>
          <t>Mass of Pure Magic</t>
        </is>
      </c>
      <c r="D38" t="n">
        <v>1.169322</v>
      </c>
      <c r="E38" t="n">
        <v>7885.3</v>
      </c>
      <c r="F38" s="3" t="n">
        <v>0.1482913776267231</v>
      </c>
      <c r="G38" t="n">
        <v>6743</v>
      </c>
      <c r="H38" s="3" t="n">
        <v>0.1174931585997904</v>
      </c>
      <c r="I38" s="3" t="n">
        <v>0.1846871978341331</v>
      </c>
      <c r="J38" t="n">
        <v>79.5</v>
      </c>
      <c r="K38">
        <f>IF(IFERROR(INDEX(Spots!$K$2:$K$96,MATCH(A38,Spots!$A$2:$A$96,0)),"")="","",IFERROR(INDEX(Spots!$K$2:$K$96,MATCH(A38,Spots!$A$2:$A$96,0)),""))</f>
        <v/>
      </c>
      <c r="L38" s="3">
        <f>IF(OR(K38="",F38=""),"",F38/1000*K38*100)</f>
        <v/>
      </c>
      <c r="M38">
        <f>IF(OR(L38="",L38=0),"",ROUND(100/L38,0))</f>
        <v/>
      </c>
      <c r="N38" t="inlineStr"/>
    </row>
    <row r="39">
      <c r="A39" t="n">
        <v>6</v>
      </c>
      <c r="B39" t="inlineStr">
        <is>
          <t>Aakman Temple</t>
        </is>
      </c>
      <c r="C39" t="inlineStr">
        <is>
          <t>Traveler's Map</t>
        </is>
      </c>
      <c r="D39" t="n">
        <v>0.6203853499999999</v>
      </c>
      <c r="E39" t="n">
        <v>7885.3</v>
      </c>
      <c r="F39" s="3" t="n">
        <v>0.07867618860411145</v>
      </c>
      <c r="G39" t="n">
        <v>12710</v>
      </c>
      <c r="H39" s="3" t="n">
        <v>0.05674103473934571</v>
      </c>
      <c r="I39" s="3" t="n">
        <v>0.106280387297894</v>
      </c>
      <c r="J39" t="n">
        <v>42.2</v>
      </c>
      <c r="K39">
        <f>IF(IFERROR(INDEX(Spots!$K$2:$K$96,MATCH(A39,Spots!$A$2:$A$96,0)),"")="","",IFERROR(INDEX(Spots!$K$2:$K$96,MATCH(A39,Spots!$A$2:$A$96,0)),""))</f>
        <v/>
      </c>
      <c r="L39" s="3">
        <f>IF(OR(K39="",F39=""),"",F39/1000*K39*100)</f>
        <v/>
      </c>
      <c r="M39">
        <f>IF(OR(L39="",L39=0),"",ROUND(100/L39,0))</f>
        <v/>
      </c>
      <c r="N39" t="inlineStr"/>
    </row>
    <row r="40">
      <c r="A40" t="n">
        <v>6</v>
      </c>
      <c r="B40" t="inlineStr">
        <is>
          <t>Aakman Temple</t>
        </is>
      </c>
      <c r="C40" t="inlineStr">
        <is>
          <t>Part for Explorer's Compass</t>
        </is>
      </c>
      <c r="D40" t="n">
        <v>0.59296793</v>
      </c>
      <c r="E40" t="n">
        <v>7885.3</v>
      </c>
      <c r="F40" s="3" t="n">
        <v>0.0751991591949577</v>
      </c>
      <c r="G40" t="n">
        <v>13298</v>
      </c>
      <c r="H40" s="3" t="n">
        <v>0.05379536022670993</v>
      </c>
      <c r="I40" s="3" t="n">
        <v>0.1022779354716658</v>
      </c>
      <c r="J40" t="n">
        <v>40.3</v>
      </c>
      <c r="K40">
        <f>IF(IFERROR(INDEX(Spots!$K$2:$K$96,MATCH(A40,Spots!$A$2:$A$96,0)),"")="","",IFERROR(INDEX(Spots!$K$2:$K$96,MATCH(A40,Spots!$A$2:$A$96,0)),""))</f>
        <v/>
      </c>
      <c r="L40" s="3">
        <f>IF(OR(K40="",F40=""),"",F40/1000*K40*100)</f>
        <v/>
      </c>
      <c r="M40">
        <f>IF(OR(L40="",L40=0),"",ROUND(100/L40,0))</f>
        <v/>
      </c>
      <c r="N40" t="inlineStr"/>
    </row>
    <row r="41">
      <c r="A41" t="n">
        <v>6</v>
      </c>
      <c r="B41" t="inlineStr">
        <is>
          <t>Aakman Temple</t>
        </is>
      </c>
      <c r="C41" t="inlineStr">
        <is>
          <t>Imperfect Lightstone of Fire</t>
        </is>
      </c>
      <c r="D41" t="n">
        <v>0.45559253</v>
      </c>
      <c r="E41" t="n">
        <v>7885.3</v>
      </c>
      <c r="F41" s="3" t="n">
        <v>0.05777745044576617</v>
      </c>
      <c r="G41" t="n">
        <v>17308</v>
      </c>
      <c r="H41" s="3" t="n">
        <v>0.03924419788373893</v>
      </c>
      <c r="I41" s="3" t="n">
        <v>0.08202277836224853</v>
      </c>
      <c r="J41" t="n">
        <v>31</v>
      </c>
      <c r="K41">
        <f>IF(IFERROR(INDEX(Spots!$K$2:$K$96,MATCH(A41,Spots!$A$2:$A$96,0)),"")="","",IFERROR(INDEX(Spots!$K$2:$K$96,MATCH(A41,Spots!$A$2:$A$96,0)),""))</f>
        <v/>
      </c>
      <c r="L41" s="3">
        <f>IF(OR(K41="",F41=""),"",F41/1000*K41*100)</f>
        <v/>
      </c>
      <c r="M41">
        <f>IF(OR(L41="",L41=0),"",ROUND(100/L41,0))</f>
        <v/>
      </c>
      <c r="N41" t="inlineStr"/>
    </row>
    <row r="42">
      <c r="A42" t="n">
        <v>6</v>
      </c>
      <c r="B42" t="inlineStr">
        <is>
          <t>Aakman Temple</t>
        </is>
      </c>
      <c r="C42" t="inlineStr">
        <is>
          <t>Tungrad Earring</t>
        </is>
      </c>
      <c r="D42" t="n">
        <v>0.20725421</v>
      </c>
      <c r="E42" t="n">
        <v>7885.3</v>
      </c>
      <c r="F42" s="3" t="n">
        <v>0.02628361761759223</v>
      </c>
      <c r="G42" t="n">
        <v>38047</v>
      </c>
      <c r="H42" s="3" t="n">
        <v>0.01439060831669313</v>
      </c>
      <c r="I42" s="3" t="n">
        <v>0.04402869723026895</v>
      </c>
      <c r="J42" t="n">
        <v>14.1</v>
      </c>
      <c r="K42">
        <f>IF(IFERROR(INDEX(Spots!$K$2:$K$96,MATCH(A42,Spots!$A$2:$A$96,0)),"")="","",IFERROR(INDEX(Spots!$K$2:$K$96,MATCH(A42,Spots!$A$2:$A$96,0)),""))</f>
        <v/>
      </c>
      <c r="L42" s="3">
        <f>IF(OR(K42="",F42=""),"",F42/1000*K42*100)</f>
        <v/>
      </c>
      <c r="M42">
        <f>IF(OR(L42="",L42=0),"",ROUND(100/L42,0))</f>
        <v/>
      </c>
      <c r="N42" t="inlineStr">
        <is>
          <t>low sample</t>
        </is>
      </c>
    </row>
    <row r="43">
      <c r="A43" t="n">
        <v>6</v>
      </c>
      <c r="B43" t="inlineStr">
        <is>
          <t>Aakman Temple</t>
        </is>
      </c>
      <c r="C43" t="inlineStr">
        <is>
          <t>Imperfect Lightstone of Earth</t>
        </is>
      </c>
      <c r="D43" t="n">
        <v>0.13133947</v>
      </c>
      <c r="E43" t="n">
        <v>7885.3</v>
      </c>
      <c r="F43" s="3" t="n">
        <v>0.01665624262868882</v>
      </c>
      <c r="G43" t="n">
        <v>60038</v>
      </c>
      <c r="H43" s="3" t="n">
        <v>0.007572842183892673</v>
      </c>
      <c r="I43" s="3" t="n">
        <v>0.03169597846166564</v>
      </c>
      <c r="J43" t="n">
        <v>8.9</v>
      </c>
      <c r="K43">
        <f>IF(IFERROR(INDEX(Spots!$K$2:$K$96,MATCH(A43,Spots!$A$2:$A$96,0)),"")="","",IFERROR(INDEX(Spots!$K$2:$K$96,MATCH(A43,Spots!$A$2:$A$96,0)),""))</f>
        <v/>
      </c>
      <c r="L43" s="3">
        <f>IF(OR(K43="",F43=""),"",F43/1000*K43*100)</f>
        <v/>
      </c>
      <c r="M43">
        <f>IF(OR(L43="",L43=0),"",ROUND(100/L43,0))</f>
        <v/>
      </c>
      <c r="N43" t="inlineStr">
        <is>
          <t>low sample</t>
        </is>
      </c>
    </row>
    <row r="44">
      <c r="A44" t="n">
        <v>6</v>
      </c>
      <c r="B44" t="inlineStr">
        <is>
          <t>Aakman Temple</t>
        </is>
      </c>
      <c r="C44" t="inlineStr">
        <is>
          <t>Darkness Condenser Detection Device</t>
        </is>
      </c>
      <c r="D44" t="n">
        <v>0.0669811</v>
      </c>
      <c r="E44" t="n">
        <v>7885.3</v>
      </c>
      <c r="F44" s="3" t="n">
        <v>0.008494426337615563</v>
      </c>
      <c r="G44" t="n">
        <v>117724</v>
      </c>
      <c r="H44" s="3" t="n">
        <v>0.002548824481742854</v>
      </c>
      <c r="I44" s="3" t="n">
        <v>0.02058503903228361</v>
      </c>
      <c r="J44" t="n">
        <v>4.6</v>
      </c>
      <c r="K44">
        <f>IF(IFERROR(INDEX(Spots!$K$2:$K$96,MATCH(A44,Spots!$A$2:$A$96,0)),"")="","",IFERROR(INDEX(Spots!$K$2:$K$96,MATCH(A44,Spots!$A$2:$A$96,0)),""))</f>
        <v/>
      </c>
      <c r="L44" s="3">
        <f>IF(OR(K44="",F44=""),"",F44/1000*K44*100)</f>
        <v/>
      </c>
      <c r="M44">
        <f>IF(OR(L44="",L44=0),"",ROUND(100/L44,0))</f>
        <v/>
      </c>
      <c r="N44" t="inlineStr">
        <is>
          <t>low sample</t>
        </is>
      </c>
    </row>
    <row r="45">
      <c r="A45" t="n">
        <v>6</v>
      </c>
      <c r="B45" t="inlineStr">
        <is>
          <t>Aakman Temple</t>
        </is>
      </c>
      <c r="C45" t="inlineStr">
        <is>
          <t>Aakman Temple Paint</t>
        </is>
      </c>
      <c r="D45" t="n">
        <v>0.05573951</v>
      </c>
      <c r="E45" t="n">
        <v>7885.3</v>
      </c>
      <c r="F45" s="3" t="n">
        <v>0.007068787490647154</v>
      </c>
      <c r="G45" t="n">
        <v>141467</v>
      </c>
      <c r="H45" s="3" t="n">
        <v>0.001810830631810921</v>
      </c>
      <c r="I45" s="3" t="n">
        <v>0.01853033634100604</v>
      </c>
      <c r="J45" t="n">
        <v>3.8</v>
      </c>
      <c r="K45">
        <f>IF(IFERROR(INDEX(Spots!$K$2:$K$96,MATCH(A45,Spots!$A$2:$A$96,0)),"")="","",IFERROR(INDEX(Spots!$K$2:$K$96,MATCH(A45,Spots!$A$2:$A$96,0)),""))</f>
        <v/>
      </c>
      <c r="L45" s="3">
        <f>IF(OR(K45="",F45=""),"",F45/1000*K45*100)</f>
        <v/>
      </c>
      <c r="M45">
        <f>IF(OR(L45="",L45=0),"",ROUND(100/L45,0))</f>
        <v/>
      </c>
      <c r="N45" t="inlineStr">
        <is>
          <t>low sample</t>
        </is>
      </c>
    </row>
    <row r="46">
      <c r="A46" t="n">
        <v>6</v>
      </c>
      <c r="B46" t="inlineStr">
        <is>
          <t>Aakman Temple</t>
        </is>
      </c>
      <c r="C46" t="inlineStr">
        <is>
          <t>Imperfect Lightstone of Wind</t>
        </is>
      </c>
      <c r="D46" t="n">
        <v>0.04166997</v>
      </c>
      <c r="E46" t="n">
        <v>7885.3</v>
      </c>
      <c r="F46" s="3" t="n">
        <v>0.005284512954484928</v>
      </c>
      <c r="G46" t="n">
        <v>189232</v>
      </c>
      <c r="H46" s="3" t="n">
        <v>0.0009924458550954157</v>
      </c>
      <c r="I46" s="3" t="n">
        <v>0.01587836801721315</v>
      </c>
      <c r="J46" t="n">
        <v>2.8</v>
      </c>
      <c r="K46">
        <f>IF(IFERROR(INDEX(Spots!$K$2:$K$96,MATCH(A46,Spots!$A$2:$A$96,0)),"")="","",IFERROR(INDEX(Spots!$K$2:$K$96,MATCH(A46,Spots!$A$2:$A$96,0)),""))</f>
        <v/>
      </c>
      <c r="L46" s="3">
        <f>IF(OR(K46="",F46=""),"",F46/1000*K46*100)</f>
        <v/>
      </c>
      <c r="M46">
        <f>IF(OR(L46="",L46=0),"",ROUND(100/L46,0))</f>
        <v/>
      </c>
      <c r="N46" t="inlineStr">
        <is>
          <t>low sample</t>
        </is>
      </c>
    </row>
    <row r="47">
      <c r="A47" t="n">
        <v>6</v>
      </c>
      <c r="B47" t="inlineStr">
        <is>
          <t>Aakman Temple</t>
        </is>
      </c>
      <c r="C47" t="inlineStr">
        <is>
          <t>Pure Forest Breath</t>
        </is>
      </c>
      <c r="D47" t="n">
        <v>0.03380553</v>
      </c>
      <c r="E47" t="n">
        <v>7885.3</v>
      </c>
      <c r="F47" s="3" t="n">
        <v>0.004287158383320862</v>
      </c>
      <c r="G47" t="n">
        <v>233255</v>
      </c>
      <c r="H47" s="3" t="n">
        <v>0.0006054389243355017</v>
      </c>
      <c r="I47" s="3" t="n">
        <v>0.01434458727986739</v>
      </c>
      <c r="J47" t="n">
        <v>2.3</v>
      </c>
      <c r="K47">
        <f>IF(IFERROR(INDEX(Spots!$K$2:$K$96,MATCH(A47,Spots!$A$2:$A$96,0)),"")="","",IFERROR(INDEX(Spots!$K$2:$K$96,MATCH(A47,Spots!$A$2:$A$96,0)),""))</f>
        <v/>
      </c>
      <c r="L47" s="3">
        <f>IF(OR(K47="",F47=""),"",F47/1000*K47*100)</f>
        <v/>
      </c>
      <c r="M47">
        <f>IF(OR(L47="",L47=0),"",ROUND(100/L47,0))</f>
        <v/>
      </c>
      <c r="N47" t="inlineStr">
        <is>
          <t>low sample</t>
        </is>
      </c>
    </row>
    <row r="48">
      <c r="A48" t="n">
        <v>6</v>
      </c>
      <c r="B48" t="inlineStr">
        <is>
          <t>Aakman Temple</t>
        </is>
      </c>
      <c r="C48" t="inlineStr">
        <is>
          <t>Any Artifact</t>
        </is>
      </c>
      <c r="D48" t="n">
        <v>0.01399604</v>
      </c>
      <c r="E48" t="n">
        <v>7885.3</v>
      </c>
      <c r="F48" s="3" t="n">
        <v>0.001774953394290642</v>
      </c>
      <c r="G48" t="n">
        <v>563395</v>
      </c>
      <c r="H48" s="3" t="n">
        <v>1.728747503388204e-05</v>
      </c>
      <c r="I48" s="3" t="n">
        <v>0.01021926301402724</v>
      </c>
      <c r="J48" t="n">
        <v>1</v>
      </c>
      <c r="K48">
        <f>IF(IFERROR(INDEX(Spots!$K$2:$K$96,MATCH(A48,Spots!$A$2:$A$96,0)),"")="","",IFERROR(INDEX(Spots!$K$2:$K$96,MATCH(A48,Spots!$A$2:$A$96,0)),""))</f>
        <v/>
      </c>
      <c r="L48" s="3">
        <f>IF(OR(K48="",F48=""),"",F48/1000*K48*100)</f>
        <v/>
      </c>
      <c r="M48">
        <f>IF(OR(L48="",L48=0),"",ROUND(100/L48,0))</f>
        <v/>
      </c>
      <c r="N48" t="inlineStr">
        <is>
          <t>low sample</t>
        </is>
      </c>
    </row>
    <row r="49">
      <c r="A49" t="n">
        <v>11</v>
      </c>
      <c r="B49" t="inlineStr">
        <is>
          <t>Abandoned Monastery</t>
        </is>
      </c>
      <c r="C49" t="inlineStr">
        <is>
          <t>Ancient Spirit Dust</t>
        </is>
      </c>
      <c r="D49" t="n">
        <v>35.619</v>
      </c>
      <c r="E49" t="n">
        <v>4502.8</v>
      </c>
      <c r="F49" s="3" t="n">
        <v>7.910411299635783</v>
      </c>
      <c r="G49" t="n">
        <v>126</v>
      </c>
      <c r="H49" s="3" t="n">
        <v>7.301504016407574</v>
      </c>
      <c r="I49" s="3" t="n">
        <v>8.556543728764103</v>
      </c>
      <c r="J49" t="n">
        <v>623.3</v>
      </c>
      <c r="K49">
        <f>IF(IFERROR(INDEX(Spots!$K$2:$K$96,MATCH(A49,Spots!$A$2:$A$96,0)),"")="","",IFERROR(INDEX(Spots!$K$2:$K$96,MATCH(A49,Spots!$A$2:$A$96,0)),""))</f>
        <v/>
      </c>
      <c r="L49" s="3">
        <f>IF(OR(K49="",F49=""),"",F49/1000*K49*100)</f>
        <v/>
      </c>
      <c r="M49">
        <f>IF(OR(L49="",L49=0),"",ROUND(100/L49,0))</f>
        <v/>
      </c>
      <c r="N49" t="inlineStr">
        <is>
          <t>low sample</t>
        </is>
      </c>
    </row>
    <row r="50">
      <c r="A50" t="n">
        <v>11</v>
      </c>
      <c r="B50" t="inlineStr">
        <is>
          <t>Abandoned Monastery</t>
        </is>
      </c>
      <c r="C50" t="inlineStr">
        <is>
          <t>Black Stone</t>
        </is>
      </c>
      <c r="D50" t="n">
        <v>13.443</v>
      </c>
      <c r="E50" t="n">
        <v>4502.8</v>
      </c>
      <c r="F50" s="3" t="n">
        <v>2.985475704006396</v>
      </c>
      <c r="G50" t="n">
        <v>335</v>
      </c>
      <c r="H50" s="3" t="n">
        <v>2.616113056925209</v>
      </c>
      <c r="I50" s="3" t="n">
        <v>3.392368710451309</v>
      </c>
      <c r="J50" t="n">
        <v>235.3</v>
      </c>
      <c r="K50">
        <f>IF(IFERROR(INDEX(Spots!$K$2:$K$96,MATCH(A50,Spots!$A$2:$A$96,0)),"")="","",IFERROR(INDEX(Spots!$K$2:$K$96,MATCH(A50,Spots!$A$2:$A$96,0)),""))</f>
        <v/>
      </c>
      <c r="L50" s="3">
        <f>IF(OR(K50="",F50=""),"",F50/1000*K50*100)</f>
        <v/>
      </c>
      <c r="M50">
        <f>IF(OR(L50="",L50=0),"",ROUND(100/L50,0))</f>
        <v/>
      </c>
      <c r="N50" t="inlineStr">
        <is>
          <t>low sample</t>
        </is>
      </c>
    </row>
    <row r="51">
      <c r="A51" t="n">
        <v>11</v>
      </c>
      <c r="B51" t="inlineStr">
        <is>
          <t>Abandoned Monastery</t>
        </is>
      </c>
      <c r="C51" t="inlineStr">
        <is>
          <t>Ancient Relic Crystal Shard</t>
        </is>
      </c>
      <c r="D51" t="n">
        <v>5.161339</v>
      </c>
      <c r="E51" t="n">
        <v>4502.8</v>
      </c>
      <c r="F51" s="3" t="n">
        <v>1.146250999378165</v>
      </c>
      <c r="G51" t="n">
        <v>872</v>
      </c>
      <c r="H51" s="3" t="n">
        <v>0.922072001897941</v>
      </c>
      <c r="I51" s="3" t="n">
        <v>1.408438146709702</v>
      </c>
      <c r="J51" t="n">
        <v>90.3</v>
      </c>
      <c r="K51">
        <f>IF(IFERROR(INDEX(Spots!$K$2:$K$96,MATCH(A51,Spots!$A$2:$A$96,0)),"")="","",IFERROR(INDEX(Spots!$K$2:$K$96,MATCH(A51,Spots!$A$2:$A$96,0)),""))</f>
        <v/>
      </c>
      <c r="L51" s="3">
        <f>IF(OR(K51="",F51=""),"",F51/1000*K51*100)</f>
        <v/>
      </c>
      <c r="M51">
        <f>IF(OR(L51="",L51=0),"",ROUND(100/L51,0))</f>
        <v/>
      </c>
      <c r="N51" t="inlineStr">
        <is>
          <t>low sample</t>
        </is>
      </c>
    </row>
    <row r="52">
      <c r="A52" t="n">
        <v>11</v>
      </c>
      <c r="B52" t="inlineStr">
        <is>
          <t>Abandoned Monastery</t>
        </is>
      </c>
      <c r="C52" t="inlineStr">
        <is>
          <t>Ancient Magic Crystal - Carmae</t>
        </is>
      </c>
      <c r="D52" t="n">
        <v>0.34499354</v>
      </c>
      <c r="E52" t="n">
        <v>4502.8</v>
      </c>
      <c r="F52" s="3" t="n">
        <v>0.07661755796393355</v>
      </c>
      <c r="G52" t="n">
        <v>13052</v>
      </c>
      <c r="H52" s="3" t="n">
        <v>0.02808816130384182</v>
      </c>
      <c r="I52" s="3" t="n">
        <v>0.1663896672438589</v>
      </c>
      <c r="J52" t="n">
        <v>6</v>
      </c>
      <c r="K52">
        <f>IF(IFERROR(INDEX(Spots!$K$2:$K$96,MATCH(A52,Spots!$A$2:$A$96,0)),"")="","",IFERROR(INDEX(Spots!$K$2:$K$96,MATCH(A52,Spots!$A$2:$A$96,0)),""))</f>
        <v/>
      </c>
      <c r="L52" s="3">
        <f>IF(OR(K52="",F52=""),"",F52/1000*K52*100)</f>
        <v/>
      </c>
      <c r="M52">
        <f>IF(OR(L52="",L52=0),"",ROUND(100/L52,0))</f>
        <v/>
      </c>
      <c r="N52" t="inlineStr">
        <is>
          <t>low sample</t>
        </is>
      </c>
    </row>
    <row r="53">
      <c r="A53" t="n">
        <v>11</v>
      </c>
      <c r="B53" t="inlineStr">
        <is>
          <t>Abandoned Monastery</t>
        </is>
      </c>
      <c r="C53" t="inlineStr">
        <is>
          <t>Imperfect Lightstone of Fire</t>
        </is>
      </c>
      <c r="D53" t="n">
        <v>0.32335931</v>
      </c>
      <c r="E53" t="n">
        <v>4502.8</v>
      </c>
      <c r="F53" s="3" t="n">
        <v>0.07181294083681265</v>
      </c>
      <c r="G53" t="n">
        <v>13925</v>
      </c>
      <c r="H53" s="3" t="n">
        <v>0.02524050717005605</v>
      </c>
      <c r="I53" s="3" t="n">
        <v>0.159755169004685</v>
      </c>
      <c r="J53" t="n">
        <v>5.7</v>
      </c>
      <c r="K53">
        <f>IF(IFERROR(INDEX(Spots!$K$2:$K$96,MATCH(A53,Spots!$A$2:$A$96,0)),"")="","",IFERROR(INDEX(Spots!$K$2:$K$96,MATCH(A53,Spots!$A$2:$A$96,0)),""))</f>
        <v/>
      </c>
      <c r="L53" s="3">
        <f>IF(OR(K53="",F53=""),"",F53/1000*K53*100)</f>
        <v/>
      </c>
      <c r="M53">
        <f>IF(OR(L53="",L53=0),"",ROUND(100/L53,0))</f>
        <v/>
      </c>
      <c r="N53" t="inlineStr">
        <is>
          <t>low sample</t>
        </is>
      </c>
    </row>
    <row r="54">
      <c r="A54" t="n">
        <v>11</v>
      </c>
      <c r="B54" t="inlineStr">
        <is>
          <t>Abandoned Monastery</t>
        </is>
      </c>
      <c r="C54" t="inlineStr">
        <is>
          <t>Dawn Earring</t>
        </is>
      </c>
      <c r="D54" t="n">
        <v>0.32234257</v>
      </c>
      <c r="E54" t="n">
        <v>4502.8</v>
      </c>
      <c r="F54" s="3" t="n">
        <v>0.07158713911344053</v>
      </c>
      <c r="G54" t="n">
        <v>13969</v>
      </c>
      <c r="H54" s="3" t="n">
        <v>0.02510826326832304</v>
      </c>
      <c r="I54" s="3" t="n">
        <v>0.1594420564427051</v>
      </c>
      <c r="J54" t="n">
        <v>5.6</v>
      </c>
      <c r="K54">
        <f>IF(IFERROR(INDEX(Spots!$K$2:$K$96,MATCH(A54,Spots!$A$2:$A$96,0)),"")="","",IFERROR(INDEX(Spots!$K$2:$K$96,MATCH(A54,Spots!$A$2:$A$96,0)),""))</f>
        <v/>
      </c>
      <c r="L54" s="3">
        <f>IF(OR(K54="",F54=""),"",F54/1000*K54*100)</f>
        <v/>
      </c>
      <c r="M54">
        <f>IF(OR(L54="",L54=0),"",ROUND(100/L54,0))</f>
        <v/>
      </c>
      <c r="N54" t="inlineStr">
        <is>
          <t>low sample</t>
        </is>
      </c>
    </row>
    <row r="55">
      <c r="A55" t="n">
        <v>11</v>
      </c>
      <c r="B55" t="inlineStr">
        <is>
          <t>Abandoned Monastery</t>
        </is>
      </c>
      <c r="C55" t="inlineStr">
        <is>
          <t>Any Artifact</t>
        </is>
      </c>
      <c r="D55" t="n">
        <v>0.08596229</v>
      </c>
      <c r="E55" t="n">
        <v>4502.8</v>
      </c>
      <c r="F55" s="3" t="n">
        <v>0.01909085235853247</v>
      </c>
      <c r="G55" t="n">
        <v>52381</v>
      </c>
      <c r="H55" s="3" t="n">
        <v>0.001162905686062402</v>
      </c>
      <c r="I55" s="3" t="n">
        <v>0.08144917392500192</v>
      </c>
      <c r="J55" t="n">
        <v>1.5</v>
      </c>
      <c r="K55">
        <f>IF(IFERROR(INDEX(Spots!$K$2:$K$96,MATCH(A55,Spots!$A$2:$A$96,0)),"")="","",IFERROR(INDEX(Spots!$K$2:$K$96,MATCH(A55,Spots!$A$2:$A$96,0)),""))</f>
        <v/>
      </c>
      <c r="L55" s="3">
        <f>IF(OR(K55="",F55=""),"",F55/1000*K55*100)</f>
        <v/>
      </c>
      <c r="M55">
        <f>IF(OR(L55="",L55=0),"",ROUND(100/L55,0))</f>
        <v/>
      </c>
      <c r="N55" t="inlineStr">
        <is>
          <t>low sample</t>
        </is>
      </c>
    </row>
    <row r="56">
      <c r="A56" t="n">
        <v>11</v>
      </c>
      <c r="B56" t="inlineStr">
        <is>
          <t>Abandoned Monastery</t>
        </is>
      </c>
      <c r="C56" t="inlineStr">
        <is>
          <t>Imperfect Lightstone of Earth</t>
        </is>
      </c>
      <c r="D56" t="n">
        <v>0.01068091</v>
      </c>
      <c r="E56" t="n">
        <v>4502.8</v>
      </c>
      <c r="F56" s="3" t="n">
        <v>0.002372059607355423</v>
      </c>
      <c r="G56" t="n">
        <v>421575</v>
      </c>
      <c r="H56" s="3" t="n">
        <v>0</v>
      </c>
      <c r="I56" s="3" t="n">
        <v>0.05145625468394217</v>
      </c>
      <c r="J56" t="n">
        <v>0.2</v>
      </c>
      <c r="K56">
        <f>IF(IFERROR(INDEX(Spots!$K$2:$K$96,MATCH(A56,Spots!$A$2:$A$96,0)),"")="","",IFERROR(INDEX(Spots!$K$2:$K$96,MATCH(A56,Spots!$A$2:$A$96,0)),""))</f>
        <v/>
      </c>
      <c r="L56" s="3">
        <f>IF(OR(K56="",F56=""),"",F56/1000*K56*100)</f>
        <v/>
      </c>
      <c r="M56">
        <f>IF(OR(L56="",L56=0),"",ROUND(100/L56,0))</f>
        <v/>
      </c>
      <c r="N56" t="inlineStr">
        <is>
          <t>low sample</t>
        </is>
      </c>
    </row>
    <row r="57">
      <c r="A57" t="n">
        <v>11</v>
      </c>
      <c r="B57" t="inlineStr">
        <is>
          <t>Abandoned Monastery</t>
        </is>
      </c>
      <c r="C57" t="inlineStr">
        <is>
          <t>Darkness Summoned by Dawn</t>
        </is>
      </c>
      <c r="D57" t="n">
        <v>0</v>
      </c>
      <c r="E57" t="n">
        <v>4502.8</v>
      </c>
      <c r="F57" s="3" t="n">
        <v>0</v>
      </c>
      <c r="H57" s="3" t="n">
        <v>0</v>
      </c>
      <c r="I57" s="3" t="n">
        <v>0.0468153149151639</v>
      </c>
      <c r="J57" t="n">
        <v>0</v>
      </c>
      <c r="K57">
        <f>IF(IFERROR(INDEX(Spots!$K$2:$K$96,MATCH(A57,Spots!$A$2:$A$96,0)),"")="","",IFERROR(INDEX(Spots!$K$2:$K$96,MATCH(A57,Spots!$A$2:$A$96,0)),""))</f>
        <v/>
      </c>
      <c r="L57" s="3">
        <f>IF(OR(K57="",F57=""),"",F57/1000*K57*100)</f>
        <v/>
      </c>
      <c r="M57">
        <f>IF(OR(L57="",L57=0),"",ROUND(100/L57,0))</f>
        <v/>
      </c>
      <c r="N57" t="inlineStr">
        <is>
          <t>no drops recorded</t>
        </is>
      </c>
    </row>
    <row r="58">
      <c r="A58" t="n">
        <v>11</v>
      </c>
      <c r="B58" t="inlineStr">
        <is>
          <t>Abandoned Monastery</t>
        </is>
      </c>
      <c r="C58" t="inlineStr">
        <is>
          <t>Imperfect Lightstone of Wind</t>
        </is>
      </c>
      <c r="D58" t="n">
        <v>0</v>
      </c>
      <c r="E58" t="n">
        <v>4502.8</v>
      </c>
      <c r="F58" s="3" t="n">
        <v>0</v>
      </c>
      <c r="H58" s="3" t="n">
        <v>0</v>
      </c>
      <c r="I58" s="3" t="n">
        <v>0.0468153149151639</v>
      </c>
      <c r="J58" t="n">
        <v>0</v>
      </c>
      <c r="K58">
        <f>IF(IFERROR(INDEX(Spots!$K$2:$K$96,MATCH(A58,Spots!$A$2:$A$96,0)),"")="","",IFERROR(INDEX(Spots!$K$2:$K$96,MATCH(A58,Spots!$A$2:$A$96,0)),""))</f>
        <v/>
      </c>
      <c r="L58" s="3">
        <f>IF(OR(K58="",F58=""),"",F58/1000*K58*100)</f>
        <v/>
      </c>
      <c r="M58">
        <f>IF(OR(L58="",L58=0),"",ROUND(100/L58,0))</f>
        <v/>
      </c>
      <c r="N58" t="inlineStr">
        <is>
          <t>no drops recorded</t>
        </is>
      </c>
    </row>
    <row r="59">
      <c r="A59" t="n">
        <v>183</v>
      </c>
      <c r="B59" t="inlineStr">
        <is>
          <t>Aetherion Castle</t>
        </is>
      </c>
      <c r="C59" t="inlineStr">
        <is>
          <t>Black Stone</t>
        </is>
      </c>
      <c r="D59" t="n">
        <v>22.484</v>
      </c>
      <c r="E59" t="n">
        <v>5688.5</v>
      </c>
      <c r="F59" s="3" t="n">
        <v>3.952535817878176</v>
      </c>
      <c r="G59" t="n">
        <v>253</v>
      </c>
      <c r="H59" s="3" t="n">
        <v>3.942879803519566</v>
      </c>
      <c r="I59" s="3" t="n">
        <v>3.962209634428819</v>
      </c>
      <c r="J59" t="n">
        <v>642901.1</v>
      </c>
      <c r="K59">
        <f>IF(IFERROR(INDEX(Spots!$K$2:$K$96,MATCH(A59,Spots!$A$2:$A$96,0)),"")="","",IFERROR(INDEX(Spots!$K$2:$K$96,MATCH(A59,Spots!$A$2:$A$96,0)),""))</f>
        <v/>
      </c>
      <c r="L59" s="3">
        <f>IF(OR(K59="",F59=""),"",F59/1000*K59*100)</f>
        <v/>
      </c>
      <c r="M59">
        <f>IF(OR(L59="",L59=0),"",ROUND(100/L59,0))</f>
        <v/>
      </c>
      <c r="N59" t="inlineStr"/>
    </row>
    <row r="60">
      <c r="A60" t="n">
        <v>183</v>
      </c>
      <c r="B60" t="inlineStr">
        <is>
          <t>Aetherion Castle</t>
        </is>
      </c>
      <c r="C60" t="inlineStr">
        <is>
          <t>Ancient Spirit Dust</t>
        </is>
      </c>
      <c r="D60" t="n">
        <v>21.655</v>
      </c>
      <c r="E60" t="n">
        <v>5688.5</v>
      </c>
      <c r="F60" s="3" t="n">
        <v>3.806803199437462</v>
      </c>
      <c r="G60" t="n">
        <v>263</v>
      </c>
      <c r="H60" s="3" t="n">
        <v>3.797326977134974</v>
      </c>
      <c r="I60" s="3" t="n">
        <v>3.816297224074388</v>
      </c>
      <c r="J60" t="n">
        <v>619196.9</v>
      </c>
      <c r="K60">
        <f>IF(IFERROR(INDEX(Spots!$K$2:$K$96,MATCH(A60,Spots!$A$2:$A$96,0)),"")="","",IFERROR(INDEX(Spots!$K$2:$K$96,MATCH(A60,Spots!$A$2:$A$96,0)),""))</f>
        <v/>
      </c>
      <c r="L60" s="3">
        <f>IF(OR(K60="",F60=""),"",F60/1000*K60*100)</f>
        <v/>
      </c>
      <c r="M60">
        <f>IF(OR(L60="",L60=0),"",ROUND(100/L60,0))</f>
        <v/>
      </c>
      <c r="N60" t="inlineStr"/>
    </row>
    <row r="61">
      <c r="A61" t="n">
        <v>183</v>
      </c>
      <c r="B61" t="inlineStr">
        <is>
          <t>Aetherion Castle</t>
        </is>
      </c>
      <c r="C61" t="inlineStr">
        <is>
          <t>Caphras Stone</t>
        </is>
      </c>
      <c r="D61" t="n">
        <v>12.335</v>
      </c>
      <c r="E61" t="n">
        <v>5688.5</v>
      </c>
      <c r="F61" s="3" t="n">
        <v>2.168409949898919</v>
      </c>
      <c r="G61" t="n">
        <v>461</v>
      </c>
      <c r="H61" s="3" t="n">
        <v>2.161259408258347</v>
      </c>
      <c r="I61" s="3" t="n">
        <v>2.175578296360635</v>
      </c>
      <c r="J61" t="n">
        <v>352703.5</v>
      </c>
      <c r="K61">
        <f>IF(IFERROR(INDEX(Spots!$K$2:$K$96,MATCH(A61,Spots!$A$2:$A$96,0)),"")="","",IFERROR(INDEX(Spots!$K$2:$K$96,MATCH(A61,Spots!$A$2:$A$96,0)),""))</f>
        <v/>
      </c>
      <c r="L61" s="3">
        <f>IF(OR(K61="",F61=""),"",F61/1000*K61*100)</f>
        <v/>
      </c>
      <c r="M61">
        <f>IF(OR(L61="",L61=0),"",ROUND(100/L61,0))</f>
        <v/>
      </c>
      <c r="N61" t="inlineStr"/>
    </row>
    <row r="62">
      <c r="A62" t="n">
        <v>183</v>
      </c>
      <c r="B62" t="inlineStr">
        <is>
          <t>Aetherion Castle</t>
        </is>
      </c>
      <c r="C62" t="inlineStr">
        <is>
          <t>Primordial Fragment</t>
        </is>
      </c>
      <c r="D62" t="n">
        <v>2.384093</v>
      </c>
      <c r="E62" t="n">
        <v>5688.5</v>
      </c>
      <c r="F62" s="3" t="n">
        <v>0.4191074975828426</v>
      </c>
      <c r="G62" t="n">
        <v>2386</v>
      </c>
      <c r="H62" s="3" t="n">
        <v>0.4159671371238721</v>
      </c>
      <c r="I62" s="3" t="n">
        <v>0.4222656757785859</v>
      </c>
      <c r="J62" t="n">
        <v>68170.10000000001</v>
      </c>
      <c r="K62">
        <f>IF(IFERROR(INDEX(Spots!$K$2:$K$96,MATCH(A62,Spots!$A$2:$A$96,0)),"")="","",IFERROR(INDEX(Spots!$K$2:$K$96,MATCH(A62,Spots!$A$2:$A$96,0)),""))</f>
        <v/>
      </c>
      <c r="L62" s="3">
        <f>IF(OR(K62="",F62=""),"",F62/1000*K62*100)</f>
        <v/>
      </c>
      <c r="M62">
        <f>IF(OR(L62="",L62=0),"",ROUND(100/L62,0))</f>
        <v/>
      </c>
      <c r="N62" t="inlineStr"/>
    </row>
    <row r="63">
      <c r="A63" t="n">
        <v>183</v>
      </c>
      <c r="B63" t="inlineStr">
        <is>
          <t>Aetherion Castle</t>
        </is>
      </c>
      <c r="C63" t="inlineStr">
        <is>
          <t>WON Crystal of Ruin</t>
        </is>
      </c>
      <c r="D63" t="n">
        <v>2.338663</v>
      </c>
      <c r="E63" t="n">
        <v>5688.5</v>
      </c>
      <c r="F63" s="3" t="n">
        <v>0.4111212094576777</v>
      </c>
      <c r="G63" t="n">
        <v>2432</v>
      </c>
      <c r="H63" s="3" t="n">
        <v>0.4080109692453617</v>
      </c>
      <c r="I63" s="3" t="n">
        <v>0.4142492676294514</v>
      </c>
      <c r="J63" t="n">
        <v>66871.10000000001</v>
      </c>
      <c r="K63">
        <f>IF(IFERROR(INDEX(Spots!$K$2:$K$96,MATCH(A63,Spots!$A$2:$A$96,0)),"")="","",IFERROR(INDEX(Spots!$K$2:$K$96,MATCH(A63,Spots!$A$2:$A$96,0)),""))</f>
        <v/>
      </c>
      <c r="L63" s="3">
        <f>IF(OR(K63="",F63=""),"",F63/1000*K63*100)</f>
        <v/>
      </c>
      <c r="M63">
        <f>IF(OR(L63="",L63=0),"",ROUND(100/L63,0))</f>
        <v/>
      </c>
      <c r="N63" t="inlineStr"/>
    </row>
    <row r="64">
      <c r="A64" t="n">
        <v>183</v>
      </c>
      <c r="B64" t="inlineStr">
        <is>
          <t>Aetherion Castle</t>
        </is>
      </c>
      <c r="C64" t="inlineStr">
        <is>
          <t>Distorted Fragment of Origin</t>
        </is>
      </c>
      <c r="D64" t="n">
        <v>0.32610132</v>
      </c>
      <c r="E64" t="n">
        <v>5688.5</v>
      </c>
      <c r="F64" s="3" t="n">
        <v>0.0573264164542498</v>
      </c>
      <c r="G64" t="n">
        <v>17444</v>
      </c>
      <c r="H64" s="3" t="n">
        <v>0.05616866158527508</v>
      </c>
      <c r="I64" s="3" t="n">
        <v>0.05850202825758235</v>
      </c>
      <c r="J64" t="n">
        <v>9324.4</v>
      </c>
      <c r="K64">
        <f>IF(IFERROR(INDEX(Spots!$K$2:$K$96,MATCH(A64,Spots!$A$2:$A$96,0)),"")="","",IFERROR(INDEX(Spots!$K$2:$K$96,MATCH(A64,Spots!$A$2:$A$96,0)),""))</f>
        <v/>
      </c>
      <c r="L64" s="3">
        <f>IF(OR(K64="",F64=""),"",F64/1000*K64*100)</f>
        <v/>
      </c>
      <c r="M64">
        <f>IF(OR(L64="",L64=0),"",ROUND(100/L64,0))</f>
        <v/>
      </c>
      <c r="N64" t="inlineStr"/>
    </row>
    <row r="65">
      <c r="A65" t="n">
        <v>183</v>
      </c>
      <c r="B65" t="inlineStr">
        <is>
          <t>Aetherion Castle</t>
        </is>
      </c>
      <c r="C65" t="inlineStr">
        <is>
          <t>Deboreka Earring</t>
        </is>
      </c>
      <c r="D65" t="n">
        <v>0.11784962</v>
      </c>
      <c r="E65" t="n">
        <v>5688.5</v>
      </c>
      <c r="F65" s="3" t="n">
        <v>0.0207171697283994</v>
      </c>
      <c r="G65" t="n">
        <v>48269</v>
      </c>
      <c r="H65" s="3" t="n">
        <v>0.020023510486341</v>
      </c>
      <c r="I65" s="3" t="n">
        <v>0.02142872705171507</v>
      </c>
      <c r="J65" t="n">
        <v>3369.8</v>
      </c>
      <c r="K65">
        <f>IF(IFERROR(INDEX(Spots!$K$2:$K$96,MATCH(A65,Spots!$A$2:$A$96,0)),"")="","",IFERROR(INDEX(Spots!$K$2:$K$96,MATCH(A65,Spots!$A$2:$A$96,0)),""))</f>
        <v/>
      </c>
      <c r="L65" s="3">
        <f>IF(OR(K65="",F65=""),"",F65/1000*K65*100)</f>
        <v/>
      </c>
      <c r="M65">
        <f>IF(OR(L65="",L65=0),"",ROUND(100/L65,0))</f>
        <v/>
      </c>
      <c r="N65" t="inlineStr"/>
    </row>
    <row r="66">
      <c r="A66" t="n">
        <v>183</v>
      </c>
      <c r="B66" t="inlineStr">
        <is>
          <t>Aetherion Castle</t>
        </is>
      </c>
      <c r="C66" t="inlineStr">
        <is>
          <t>Silent Fragment of Origin</t>
        </is>
      </c>
      <c r="D66" t="n">
        <v>0.07433192</v>
      </c>
      <c r="E66" t="n">
        <v>5688.5</v>
      </c>
      <c r="F66" s="3" t="n">
        <v>0.0130670510679441</v>
      </c>
      <c r="G66" t="n">
        <v>76528</v>
      </c>
      <c r="H66" s="3" t="n">
        <v>0.01251736096660811</v>
      </c>
      <c r="I66" s="3" t="n">
        <v>0.01363466591760905</v>
      </c>
      <c r="J66" t="n">
        <v>2125.4</v>
      </c>
      <c r="K66">
        <f>IF(IFERROR(INDEX(Spots!$K$2:$K$96,MATCH(A66,Spots!$A$2:$A$96,0)),"")="","",IFERROR(INDEX(Spots!$K$2:$K$96,MATCH(A66,Spots!$A$2:$A$96,0)),""))</f>
        <v/>
      </c>
      <c r="L66" s="3">
        <f>IF(OR(K66="",F66=""),"",F66/1000*K66*100)</f>
        <v/>
      </c>
      <c r="M66">
        <f>IF(OR(L66="",L66=0),"",ROUND(100/L66,0))</f>
        <v/>
      </c>
      <c r="N66" t="inlineStr"/>
    </row>
    <row r="67">
      <c r="A67" t="n">
        <v>183</v>
      </c>
      <c r="B67" t="inlineStr">
        <is>
          <t>Aetherion Castle</t>
        </is>
      </c>
      <c r="C67" t="inlineStr">
        <is>
          <t>Deboreka Ring</t>
        </is>
      </c>
      <c r="D67" t="n">
        <v>0.06011162</v>
      </c>
      <c r="E67" t="n">
        <v>5688.5</v>
      </c>
      <c r="F67" s="3" t="n">
        <v>0.01056721807154786</v>
      </c>
      <c r="G67" t="n">
        <v>94632</v>
      </c>
      <c r="H67" s="3" t="n">
        <v>0.01007348753134778</v>
      </c>
      <c r="I67" s="3" t="n">
        <v>0.01107888785044665</v>
      </c>
      <c r="J67" t="n">
        <v>1718.8</v>
      </c>
      <c r="K67">
        <f>IF(IFERROR(INDEX(Spots!$K$2:$K$96,MATCH(A67,Spots!$A$2:$A$96,0)),"")="","",IFERROR(INDEX(Spots!$K$2:$K$96,MATCH(A67,Spots!$A$2:$A$96,0)),""))</f>
        <v/>
      </c>
      <c r="L67" s="3">
        <f>IF(OR(K67="",F67=""),"",F67/1000*K67*100)</f>
        <v/>
      </c>
      <c r="M67">
        <f>IF(OR(L67="",L67=0),"",ROUND(100/L67,0))</f>
        <v/>
      </c>
      <c r="N67" t="inlineStr"/>
    </row>
    <row r="68">
      <c r="A68" t="n">
        <v>183</v>
      </c>
      <c r="B68" t="inlineStr">
        <is>
          <t>Aetherion Castle</t>
        </is>
      </c>
      <c r="C68" t="inlineStr">
        <is>
          <t>Deboreka Belt</t>
        </is>
      </c>
      <c r="D68" t="n">
        <v>0.05991092</v>
      </c>
      <c r="E68" t="n">
        <v>5688.5</v>
      </c>
      <c r="F68" s="3" t="n">
        <v>0.0105319363628373</v>
      </c>
      <c r="G68" t="n">
        <v>94949</v>
      </c>
      <c r="H68" s="3" t="n">
        <v>0.0100390405481631</v>
      </c>
      <c r="I68" s="3" t="n">
        <v>0.01104277165683273</v>
      </c>
      <c r="J68" t="n">
        <v>1713.1</v>
      </c>
      <c r="K68">
        <f>IF(IFERROR(INDEX(Spots!$K$2:$K$96,MATCH(A68,Spots!$A$2:$A$96,0)),"")="","",IFERROR(INDEX(Spots!$K$2:$K$96,MATCH(A68,Spots!$A$2:$A$96,0)),""))</f>
        <v/>
      </c>
      <c r="L68" s="3">
        <f>IF(OR(K68="",F68=""),"",F68/1000*K68*100)</f>
        <v/>
      </c>
      <c r="M68">
        <f>IF(OR(L68="",L68=0),"",ROUND(100/L68,0))</f>
        <v/>
      </c>
      <c r="N68" t="inlineStr"/>
    </row>
    <row r="69">
      <c r="A69" t="n">
        <v>183</v>
      </c>
      <c r="B69" t="inlineStr">
        <is>
          <t>Aetherion Castle</t>
        </is>
      </c>
      <c r="C69" t="inlineStr">
        <is>
          <t>Deboreka Necklace</t>
        </is>
      </c>
      <c r="D69" t="n">
        <v>0.05933496</v>
      </c>
      <c r="E69" t="n">
        <v>5688.5</v>
      </c>
      <c r="F69" s="3" t="n">
        <v>0.01043068647270809</v>
      </c>
      <c r="G69" t="n">
        <v>95871</v>
      </c>
      <c r="H69" s="3" t="n">
        <v>0.009940193911627265</v>
      </c>
      <c r="I69" s="3" t="n">
        <v>0.01093911921037895</v>
      </c>
      <c r="J69" t="n">
        <v>1696.6</v>
      </c>
      <c r="K69">
        <f>IF(IFERROR(INDEX(Spots!$K$2:$K$96,MATCH(A69,Spots!$A$2:$A$96,0)),"")="","",IFERROR(INDEX(Spots!$K$2:$K$96,MATCH(A69,Spots!$A$2:$A$96,0)),""))</f>
        <v/>
      </c>
      <c r="L69" s="3">
        <f>IF(OR(K69="",F69=""),"",F69/1000*K69*100)</f>
        <v/>
      </c>
      <c r="M69">
        <f>IF(OR(L69="",L69=0),"",ROUND(100/L69,0))</f>
        <v/>
      </c>
      <c r="N69" t="inlineStr"/>
    </row>
    <row r="70">
      <c r="A70" t="n">
        <v>183</v>
      </c>
      <c r="B70" t="inlineStr">
        <is>
          <t>Aetherion Castle</t>
        </is>
      </c>
      <c r="C70" t="inlineStr">
        <is>
          <t>WON Crystal of Dusky Ruin</t>
        </is>
      </c>
      <c r="D70" t="n">
        <v>0.00883864</v>
      </c>
      <c r="E70" t="n">
        <v>5688.5</v>
      </c>
      <c r="F70" s="3" t="n">
        <v>0.001553773402478685</v>
      </c>
      <c r="G70" t="n">
        <v>643594</v>
      </c>
      <c r="H70" s="3" t="n">
        <v>0.001368089947349213</v>
      </c>
      <c r="I70" s="3" t="n">
        <v>0.001757625163651398</v>
      </c>
      <c r="J70" t="n">
        <v>252.7</v>
      </c>
      <c r="K70">
        <f>IF(IFERROR(INDEX(Spots!$K$2:$K$96,MATCH(A70,Spots!$A$2:$A$96,0)),"")="","",IFERROR(INDEX(Spots!$K$2:$K$96,MATCH(A70,Spots!$A$2:$A$96,0)),""))</f>
        <v/>
      </c>
      <c r="L70" s="3">
        <f>IF(OR(K70="",F70=""),"",F70/1000*K70*100)</f>
        <v/>
      </c>
      <c r="M70">
        <f>IF(OR(L70="",L70=0),"",ROUND(100/L70,0))</f>
        <v/>
      </c>
      <c r="N70" t="inlineStr"/>
    </row>
    <row r="71">
      <c r="A71" t="n">
        <v>183</v>
      </c>
      <c r="B71" t="inlineStr">
        <is>
          <t>Aetherion Castle</t>
        </is>
      </c>
      <c r="C71" t="inlineStr">
        <is>
          <t>Distorted Crystal of Origin</t>
        </is>
      </c>
      <c r="D71" t="n">
        <v>0.0009660200000000001</v>
      </c>
      <c r="E71" t="n">
        <v>5688.5</v>
      </c>
      <c r="F71" s="3" t="n">
        <v>0.0001698198119012042</v>
      </c>
      <c r="G71" t="n">
        <v>5888594</v>
      </c>
      <c r="H71" s="3" t="n">
        <v>0.0001124710335183247</v>
      </c>
      <c r="I71" s="3" t="n">
        <v>0.0002460565848249863</v>
      </c>
      <c r="J71" t="n">
        <v>27.6</v>
      </c>
      <c r="K71">
        <f>IF(IFERROR(INDEX(Spots!$K$2:$K$96,MATCH(A71,Spots!$A$2:$A$96,0)),"")="","",IFERROR(INDEX(Spots!$K$2:$K$96,MATCH(A71,Spots!$A$2:$A$96,0)),""))</f>
        <v/>
      </c>
      <c r="L71" s="3">
        <f>IF(OR(K71="",F71=""),"",F71/1000*K71*100)</f>
        <v/>
      </c>
      <c r="M71">
        <f>IF(OR(L71="",L71=0),"",ROUND(100/L71,0))</f>
        <v/>
      </c>
      <c r="N71" t="inlineStr">
        <is>
          <t>low sample</t>
        </is>
      </c>
    </row>
    <row r="72">
      <c r="A72" t="n">
        <v>183</v>
      </c>
      <c r="B72" t="inlineStr">
        <is>
          <t>Aetherion Castle</t>
        </is>
      </c>
      <c r="C72" t="inlineStr">
        <is>
          <t>Silent Crystal of Origin</t>
        </is>
      </c>
      <c r="D72" t="n">
        <v>9.695999999999999e-05</v>
      </c>
      <c r="E72" t="n">
        <v>5688.5</v>
      </c>
      <c r="F72" s="3" t="n">
        <v>1.704491517974862e-05</v>
      </c>
      <c r="G72" t="n">
        <v>58668523</v>
      </c>
      <c r="H72" s="3" t="n">
        <v>3.116010665121149e-06</v>
      </c>
      <c r="I72" s="3" t="n">
        <v>5.177296971482119e-05</v>
      </c>
      <c r="J72" t="n">
        <v>2.8</v>
      </c>
      <c r="K72">
        <f>IF(IFERROR(INDEX(Spots!$K$2:$K$96,MATCH(A72,Spots!$A$2:$A$96,0)),"")="","",IFERROR(INDEX(Spots!$K$2:$K$96,MATCH(A72,Spots!$A$2:$A$96,0)),""))</f>
        <v/>
      </c>
      <c r="L72" s="3">
        <f>IF(OR(K72="",F72=""),"",F72/1000*K72*100)</f>
        <v/>
      </c>
      <c r="M72">
        <f>IF(OR(L72="",L72=0),"",ROUND(100/L72,0))</f>
        <v/>
      </c>
      <c r="N72" t="inlineStr">
        <is>
          <t>low sample</t>
        </is>
      </c>
    </row>
    <row r="73">
      <c r="A73" t="n">
        <v>13</v>
      </c>
      <c r="B73" t="inlineStr">
        <is>
          <t>Altar Imp Habitat</t>
        </is>
      </c>
      <c r="C73" t="inlineStr">
        <is>
          <t>Black Stone</t>
        </is>
      </c>
      <c r="D73" t="n">
        <v>39.183</v>
      </c>
      <c r="E73" t="n">
        <v>5808.8</v>
      </c>
      <c r="F73" s="3" t="n">
        <v>6.745455171463985</v>
      </c>
      <c r="G73" t="n">
        <v>148</v>
      </c>
      <c r="H73" s="3" t="n">
        <v>6.570990834707009</v>
      </c>
      <c r="I73" s="3" t="n">
        <v>6.923378874914171</v>
      </c>
      <c r="J73" t="n">
        <v>5669.1</v>
      </c>
      <c r="K73">
        <f>IF(IFERROR(INDEX(Spots!$K$2:$K$96,MATCH(A73,Spots!$A$2:$A$96,0)),"")="","",IFERROR(INDEX(Spots!$K$2:$K$96,MATCH(A73,Spots!$A$2:$A$96,0)),""))</f>
        <v/>
      </c>
      <c r="L73" s="3">
        <f>IF(OR(K73="",F73=""),"",F73/1000*K73*100)</f>
        <v/>
      </c>
      <c r="M73">
        <f>IF(OR(L73="",L73=0),"",ROUND(100/L73,0))</f>
        <v/>
      </c>
      <c r="N73" t="inlineStr"/>
    </row>
    <row r="74">
      <c r="A74" t="n">
        <v>13</v>
      </c>
      <c r="B74" t="inlineStr">
        <is>
          <t>Altar Imp Habitat</t>
        </is>
      </c>
      <c r="C74" t="inlineStr">
        <is>
          <t>Trace of Nature</t>
        </is>
      </c>
      <c r="D74" t="n">
        <v>22.964</v>
      </c>
      <c r="E74" t="n">
        <v>5808.8</v>
      </c>
      <c r="F74" s="3" t="n">
        <v>3.953312215948217</v>
      </c>
      <c r="G74" t="n">
        <v>253</v>
      </c>
      <c r="H74" s="3" t="n">
        <v>3.820016170955078</v>
      </c>
      <c r="I74" s="3" t="n">
        <v>4.090072338658879</v>
      </c>
      <c r="J74" t="n">
        <v>3322.5</v>
      </c>
      <c r="K74">
        <f>IF(IFERROR(INDEX(Spots!$K$2:$K$96,MATCH(A74,Spots!$A$2:$A$96,0)),"")="","",IFERROR(INDEX(Spots!$K$2:$K$96,MATCH(A74,Spots!$A$2:$A$96,0)),""))</f>
        <v/>
      </c>
      <c r="L74" s="3">
        <f>IF(OR(K74="",F74=""),"",F74/1000*K74*100)</f>
        <v/>
      </c>
      <c r="M74">
        <f>IF(OR(L74="",L74=0),"",ROUND(100/L74,0))</f>
        <v/>
      </c>
      <c r="N74" t="inlineStr"/>
    </row>
    <row r="75">
      <c r="A75" t="n">
        <v>13</v>
      </c>
      <c r="B75" t="inlineStr">
        <is>
          <t>Altar Imp Habitat</t>
        </is>
      </c>
      <c r="C75" t="inlineStr">
        <is>
          <t>Shard of the Tearful Night</t>
        </is>
      </c>
      <c r="D75" t="n">
        <v>4.760678</v>
      </c>
      <c r="E75" t="n">
        <v>5808.8</v>
      </c>
      <c r="F75" s="3" t="n">
        <v>0.8195630767111969</v>
      </c>
      <c r="G75" t="n">
        <v>1220</v>
      </c>
      <c r="H75" s="3" t="n">
        <v>0.7594909173497754</v>
      </c>
      <c r="I75" s="3" t="n">
        <v>0.8831232163553508</v>
      </c>
      <c r="J75" t="n">
        <v>688.8</v>
      </c>
      <c r="K75">
        <f>IF(IFERROR(INDEX(Spots!$K$2:$K$96,MATCH(A75,Spots!$A$2:$A$96,0)),"")="","",IFERROR(INDEX(Spots!$K$2:$K$96,MATCH(A75,Spots!$A$2:$A$96,0)),""))</f>
        <v/>
      </c>
      <c r="L75" s="3">
        <f>IF(OR(K75="",F75=""),"",F75/1000*K75*100)</f>
        <v/>
      </c>
      <c r="M75">
        <f>IF(OR(L75="",L75=0),"",ROUND(100/L75,0))</f>
        <v/>
      </c>
      <c r="N75" t="inlineStr"/>
    </row>
    <row r="76">
      <c r="A76" t="n">
        <v>13</v>
      </c>
      <c r="B76" t="inlineStr">
        <is>
          <t>Altar Imp Habitat</t>
        </is>
      </c>
      <c r="C76" t="inlineStr">
        <is>
          <t>Okiara's Tide</t>
        </is>
      </c>
      <c r="D76" t="n">
        <v>3.977475</v>
      </c>
      <c r="E76" t="n">
        <v>5808.8</v>
      </c>
      <c r="F76" s="3" t="n">
        <v>0.684732647018317</v>
      </c>
      <c r="G76" t="n">
        <v>1460</v>
      </c>
      <c r="H76" s="3" t="n">
        <v>0.6299218655863827</v>
      </c>
      <c r="I76" s="3" t="n">
        <v>0.7430355117780584</v>
      </c>
      <c r="J76" t="n">
        <v>575.5</v>
      </c>
      <c r="K76">
        <f>IF(IFERROR(INDEX(Spots!$K$2:$K$96,MATCH(A76,Spots!$A$2:$A$96,0)),"")="","",IFERROR(INDEX(Spots!$K$2:$K$96,MATCH(A76,Spots!$A$2:$A$96,0)),""))</f>
        <v/>
      </c>
      <c r="L76" s="3">
        <f>IF(OR(K76="",F76=""),"",F76/1000*K76*100)</f>
        <v/>
      </c>
      <c r="M76">
        <f>IF(OR(L76="",L76=0),"",ROUND(100/L76,0))</f>
        <v/>
      </c>
      <c r="N76" t="inlineStr"/>
    </row>
    <row r="77">
      <c r="A77" t="n">
        <v>13</v>
      </c>
      <c r="B77" t="inlineStr">
        <is>
          <t>Altar Imp Habitat</t>
        </is>
      </c>
      <c r="C77" t="inlineStr">
        <is>
          <t>Seed of Void</t>
        </is>
      </c>
      <c r="D77" t="n">
        <v>2.555861</v>
      </c>
      <c r="E77" t="n">
        <v>5808.8</v>
      </c>
      <c r="F77" s="3" t="n">
        <v>0.4399981063214433</v>
      </c>
      <c r="G77" t="n">
        <v>2273</v>
      </c>
      <c r="H77" s="3" t="n">
        <v>0.3962879447601187</v>
      </c>
      <c r="I77" s="3" t="n">
        <v>0.4872121258796659</v>
      </c>
      <c r="J77" t="n">
        <v>369.8</v>
      </c>
      <c r="K77">
        <f>IF(IFERROR(INDEX(Spots!$K$2:$K$96,MATCH(A77,Spots!$A$2:$A$96,0)),"")="","",IFERROR(INDEX(Spots!$K$2:$K$96,MATCH(A77,Spots!$A$2:$A$96,0)),""))</f>
        <v/>
      </c>
      <c r="L77" s="3">
        <f>IF(OR(K77="",F77=""),"",F77/1000*K77*100)</f>
        <v/>
      </c>
      <c r="M77">
        <f>IF(OR(L77="",L77=0),"",ROUND(100/L77,0))</f>
        <v/>
      </c>
      <c r="N77" t="inlineStr"/>
    </row>
    <row r="78">
      <c r="A78" t="n">
        <v>13</v>
      </c>
      <c r="B78" t="inlineStr">
        <is>
          <t>Altar Imp Habitat</t>
        </is>
      </c>
      <c r="C78" t="inlineStr">
        <is>
          <t>Mass of Pure Magic</t>
        </is>
      </c>
      <c r="D78" t="n">
        <v>2.104767</v>
      </c>
      <c r="E78" t="n">
        <v>5808.8</v>
      </c>
      <c r="F78" s="3" t="n">
        <v>0.3623411031538356</v>
      </c>
      <c r="G78" t="n">
        <v>2760</v>
      </c>
      <c r="H78" s="3" t="n">
        <v>0.3227814021175284</v>
      </c>
      <c r="I78" s="3" t="n">
        <v>0.4054106907787319</v>
      </c>
      <c r="J78" t="n">
        <v>304.5</v>
      </c>
      <c r="K78">
        <f>IF(IFERROR(INDEX(Spots!$K$2:$K$96,MATCH(A78,Spots!$A$2:$A$96,0)),"")="","",IFERROR(INDEX(Spots!$K$2:$K$96,MATCH(A78,Spots!$A$2:$A$96,0)),""))</f>
        <v/>
      </c>
      <c r="L78" s="3">
        <f>IF(OR(K78="",F78=""),"",F78/1000*K78*100)</f>
        <v/>
      </c>
      <c r="M78">
        <f>IF(OR(L78="",L78=0),"",ROUND(100/L78,0))</f>
        <v/>
      </c>
      <c r="N78" t="inlineStr"/>
    </row>
    <row r="79">
      <c r="A79" t="n">
        <v>13</v>
      </c>
      <c r="B79" t="inlineStr">
        <is>
          <t>Altar Imp Habitat</t>
        </is>
      </c>
      <c r="C79" t="inlineStr">
        <is>
          <t>Sealed Black Magic Crystal</t>
        </is>
      </c>
      <c r="D79" t="n">
        <v>2.043578</v>
      </c>
      <c r="E79" t="n">
        <v>5808.8</v>
      </c>
      <c r="F79" s="3" t="n">
        <v>0.3518072579534499</v>
      </c>
      <c r="G79" t="n">
        <v>2842</v>
      </c>
      <c r="H79" s="3" t="n">
        <v>0.3128436302131515</v>
      </c>
      <c r="I79" s="3" t="n">
        <v>0.3942817390444352</v>
      </c>
      <c r="J79" t="n">
        <v>295.7</v>
      </c>
      <c r="K79">
        <f>IF(IFERROR(INDEX(Spots!$K$2:$K$96,MATCH(A79,Spots!$A$2:$A$96,0)),"")="","",IFERROR(INDEX(Spots!$K$2:$K$96,MATCH(A79,Spots!$A$2:$A$96,0)),""))</f>
        <v/>
      </c>
      <c r="L79" s="3">
        <f>IF(OR(K79="",F79=""),"",F79/1000*K79*100)</f>
        <v/>
      </c>
      <c r="M79">
        <f>IF(OR(L79="",L79=0),"",ROUND(100/L79,0))</f>
        <v/>
      </c>
      <c r="N79" t="inlineStr"/>
    </row>
    <row r="80">
      <c r="A80" t="n">
        <v>13</v>
      </c>
      <c r="B80" t="inlineStr">
        <is>
          <t>Altar Imp Habitat</t>
        </is>
      </c>
      <c r="C80" t="inlineStr">
        <is>
          <t>Altar Imp Captain (Boss)</t>
        </is>
      </c>
      <c r="D80" t="n">
        <v>0.25314588</v>
      </c>
      <c r="E80" t="n">
        <v>5808.8</v>
      </c>
      <c r="F80" s="3" t="n">
        <v>0.043579720424184</v>
      </c>
      <c r="G80" t="n">
        <v>22946</v>
      </c>
      <c r="H80" s="3" t="n">
        <v>0.03062014815156905</v>
      </c>
      <c r="I80" s="3" t="n">
        <v>0.06016825254622733</v>
      </c>
      <c r="J80" t="n">
        <v>36.6</v>
      </c>
      <c r="K80">
        <f>IF(IFERROR(INDEX(Spots!$K$2:$K$96,MATCH(A80,Spots!$A$2:$A$96,0)),"")="","",IFERROR(INDEX(Spots!$K$2:$K$96,MATCH(A80,Spots!$A$2:$A$96,0)),""))</f>
        <v/>
      </c>
      <c r="L80" s="3">
        <f>IF(OR(K80="",F80=""),"",F80/1000*K80*100)</f>
        <v/>
      </c>
      <c r="M80">
        <f>IF(OR(L80="",L80=0),"",ROUND(100/L80,0))</f>
        <v/>
      </c>
      <c r="N80" t="inlineStr"/>
    </row>
    <row r="81">
      <c r="A81" t="n">
        <v>13</v>
      </c>
      <c r="B81" t="inlineStr">
        <is>
          <t>Altar Imp Habitat</t>
        </is>
      </c>
      <c r="C81" t="inlineStr">
        <is>
          <t>Revived River Necklace</t>
        </is>
      </c>
      <c r="D81" t="n">
        <v>0.15373166</v>
      </c>
      <c r="E81" t="n">
        <v>5808.8</v>
      </c>
      <c r="F81" s="3" t="n">
        <v>0.02646530436578983</v>
      </c>
      <c r="G81" t="n">
        <v>37785</v>
      </c>
      <c r="H81" s="3" t="n">
        <v>0.01662724237689397</v>
      </c>
      <c r="I81" s="3" t="n">
        <v>0.03998163717745119</v>
      </c>
      <c r="J81" t="n">
        <v>22.2</v>
      </c>
      <c r="K81">
        <f>IF(IFERROR(INDEX(Spots!$K$2:$K$96,MATCH(A81,Spots!$A$2:$A$96,0)),"")="","",IFERROR(INDEX(Spots!$K$2:$K$96,MATCH(A81,Spots!$A$2:$A$96,0)),""))</f>
        <v/>
      </c>
      <c r="L81" s="3">
        <f>IF(OR(K81="",F81=""),"",F81/1000*K81*100)</f>
        <v/>
      </c>
      <c r="M81">
        <f>IF(OR(L81="",L81=0),"",ROUND(100/L81,0))</f>
        <v/>
      </c>
      <c r="N81" t="inlineStr">
        <is>
          <t>low sample</t>
        </is>
      </c>
    </row>
    <row r="82">
      <c r="A82" t="n">
        <v>13</v>
      </c>
      <c r="B82" t="inlineStr">
        <is>
          <t>Altar Imp Habitat</t>
        </is>
      </c>
      <c r="C82" t="inlineStr">
        <is>
          <t>Burning Valtarra's Jordun</t>
        </is>
      </c>
      <c r="D82" t="n">
        <v>0.05607613</v>
      </c>
      <c r="E82" t="n">
        <v>5808.8</v>
      </c>
      <c r="F82" s="3" t="n">
        <v>0.009653651356562458</v>
      </c>
      <c r="G82" t="n">
        <v>103588</v>
      </c>
      <c r="H82" s="3" t="n">
        <v>0.004186658060983476</v>
      </c>
      <c r="I82" s="3" t="n">
        <v>0.01893632927630349</v>
      </c>
      <c r="J82" t="n">
        <v>8.1</v>
      </c>
      <c r="K82">
        <f>IF(IFERROR(INDEX(Spots!$K$2:$K$96,MATCH(A82,Spots!$A$2:$A$96,0)),"")="","",IFERROR(INDEX(Spots!$K$2:$K$96,MATCH(A82,Spots!$A$2:$A$96,0)),""))</f>
        <v/>
      </c>
      <c r="L82" s="3">
        <f>IF(OR(K82="",F82=""),"",F82/1000*K82*100)</f>
        <v/>
      </c>
      <c r="M82">
        <f>IF(OR(L82="",L82=0),"",ROUND(100/L82,0))</f>
        <v/>
      </c>
      <c r="N82" t="inlineStr">
        <is>
          <t>low sample</t>
        </is>
      </c>
    </row>
    <row r="83">
      <c r="A83" t="n">
        <v>213</v>
      </c>
      <c r="B83" t="inlineStr">
        <is>
          <t>Aphrodon Temple</t>
        </is>
      </c>
      <c r="C83" t="inlineStr">
        <is>
          <t>Ancient Spirit Dust</t>
        </is>
      </c>
      <c r="D83" t="n">
        <v>38.534</v>
      </c>
      <c r="E83" t="n">
        <v>6196.8</v>
      </c>
      <c r="F83" s="3" t="n">
        <v>6.21837077201136</v>
      </c>
      <c r="G83" t="n">
        <v>161</v>
      </c>
      <c r="H83" s="3" t="n">
        <v>6.206767531122041</v>
      </c>
      <c r="I83" s="3" t="n">
        <v>6.229990345991338</v>
      </c>
      <c r="J83" t="n">
        <v>1102317.7</v>
      </c>
      <c r="K83">
        <f>IF(IFERROR(INDEX(Spots!$K$2:$K$96,MATCH(A83,Spots!$A$2:$A$96,0)),"")="","",IFERROR(INDEX(Spots!$K$2:$K$96,MATCH(A83,Spots!$A$2:$A$96,0)),""))</f>
        <v/>
      </c>
      <c r="L83" s="3">
        <f>IF(OR(K83="",F83=""),"",F83/1000*K83*100)</f>
        <v/>
      </c>
      <c r="M83">
        <f>IF(OR(L83="",L83=0),"",ROUND(100/L83,0))</f>
        <v/>
      </c>
      <c r="N83" t="inlineStr"/>
    </row>
    <row r="84">
      <c r="A84" t="n">
        <v>213</v>
      </c>
      <c r="B84" t="inlineStr">
        <is>
          <t>Aphrodon Temple</t>
        </is>
      </c>
      <c r="C84" t="inlineStr">
        <is>
          <t>Black Stone</t>
        </is>
      </c>
      <c r="D84" t="n">
        <v>24.851</v>
      </c>
      <c r="E84" t="n">
        <v>6196.8</v>
      </c>
      <c r="F84" s="3" t="n">
        <v>4.010295636457526</v>
      </c>
      <c r="G84" t="n">
        <v>249</v>
      </c>
      <c r="H84" s="3" t="n">
        <v>4.000978549865699</v>
      </c>
      <c r="I84" s="3" t="n">
        <v>4.019629057430692</v>
      </c>
      <c r="J84" t="n">
        <v>710896.8</v>
      </c>
      <c r="K84">
        <f>IF(IFERROR(INDEX(Spots!$K$2:$K$96,MATCH(A84,Spots!$A$2:$A$96,0)),"")="","",IFERROR(INDEX(Spots!$K$2:$K$96,MATCH(A84,Spots!$A$2:$A$96,0)),""))</f>
        <v/>
      </c>
      <c r="L84" s="3">
        <f>IF(OR(K84="",F84=""),"",F84/1000*K84*100)</f>
        <v/>
      </c>
      <c r="M84">
        <f>IF(OR(L84="",L84=0),"",ROUND(100/L84,0))</f>
        <v/>
      </c>
      <c r="N84" t="inlineStr"/>
    </row>
    <row r="85">
      <c r="A85" t="n">
        <v>213</v>
      </c>
      <c r="B85" t="inlineStr">
        <is>
          <t>Aphrodon Temple</t>
        </is>
      </c>
      <c r="C85" t="inlineStr">
        <is>
          <t>Sealed Black Magic Crystal</t>
        </is>
      </c>
      <c r="D85" t="n">
        <v>6.579901</v>
      </c>
      <c r="E85" t="n">
        <v>6196.8</v>
      </c>
      <c r="F85" s="3" t="n">
        <v>1.061822392202427</v>
      </c>
      <c r="G85" t="n">
        <v>942</v>
      </c>
      <c r="H85" s="3" t="n">
        <v>1.057030768460989</v>
      </c>
      <c r="I85" s="3" t="n">
        <v>1.066630356506251</v>
      </c>
      <c r="J85" t="n">
        <v>188227.1</v>
      </c>
      <c r="K85">
        <f>IF(IFERROR(INDEX(Spots!$K$2:$K$96,MATCH(A85,Spots!$A$2:$A$96,0)),"")="","",IFERROR(INDEX(Spots!$K$2:$K$96,MATCH(A85,Spots!$A$2:$A$96,0)),""))</f>
        <v/>
      </c>
      <c r="L85" s="3">
        <f>IF(OR(K85="",F85=""),"",F85/1000*K85*100)</f>
        <v/>
      </c>
      <c r="M85">
        <f>IF(OR(L85="",L85=0),"",ROUND(100/L85,0))</f>
        <v/>
      </c>
      <c r="N85" t="inlineStr"/>
    </row>
    <row r="86">
      <c r="A86" t="n">
        <v>213</v>
      </c>
      <c r="B86" t="inlineStr">
        <is>
          <t>Aphrodon Temple</t>
        </is>
      </c>
      <c r="C86" t="inlineStr">
        <is>
          <t>Caphras Stone</t>
        </is>
      </c>
      <c r="D86" t="n">
        <v>6.313113</v>
      </c>
      <c r="E86" t="n">
        <v>6196.8</v>
      </c>
      <c r="F86" s="3" t="n">
        <v>1.018769848954299</v>
      </c>
      <c r="G86" t="n">
        <v>982</v>
      </c>
      <c r="H86" s="3" t="n">
        <v>1.014076480231736</v>
      </c>
      <c r="I86" s="3" t="n">
        <v>1.023479558505439</v>
      </c>
      <c r="J86" t="n">
        <v>180595.2</v>
      </c>
      <c r="K86">
        <f>IF(IFERROR(INDEX(Spots!$K$2:$K$96,MATCH(A86,Spots!$A$2:$A$96,0)),"")="","",IFERROR(INDEX(Spots!$K$2:$K$96,MATCH(A86,Spots!$A$2:$A$96,0)),""))</f>
        <v/>
      </c>
      <c r="L86" s="3">
        <f>IF(OR(K86="",F86=""),"",F86/1000*K86*100)</f>
        <v/>
      </c>
      <c r="M86">
        <f>IF(OR(L86="",L86=0),"",ROUND(100/L86,0))</f>
        <v/>
      </c>
      <c r="N86" t="inlineStr"/>
    </row>
    <row r="87">
      <c r="A87" t="n">
        <v>213</v>
      </c>
      <c r="B87" t="inlineStr">
        <is>
          <t>Aphrodon Temple</t>
        </is>
      </c>
      <c r="C87" t="inlineStr">
        <is>
          <t>WON Origin Shard</t>
        </is>
      </c>
      <c r="D87" t="n">
        <v>2.188235</v>
      </c>
      <c r="E87" t="n">
        <v>6196.8</v>
      </c>
      <c r="F87" s="3" t="n">
        <v>0.3531233862638781</v>
      </c>
      <c r="G87" t="n">
        <v>2832</v>
      </c>
      <c r="H87" s="3" t="n">
        <v>0.3503624016159747</v>
      </c>
      <c r="I87" s="3" t="n">
        <v>0.3559007208151506</v>
      </c>
      <c r="J87" t="n">
        <v>62597.5</v>
      </c>
      <c r="K87">
        <f>IF(IFERROR(INDEX(Spots!$K$2:$K$96,MATCH(A87,Spots!$A$2:$A$96,0)),"")="","",IFERROR(INDEX(Spots!$K$2:$K$96,MATCH(A87,Spots!$A$2:$A$96,0)),""))</f>
        <v/>
      </c>
      <c r="L87" s="3">
        <f>IF(OR(K87="",F87=""),"",F87/1000*K87*100)</f>
        <v/>
      </c>
      <c r="M87">
        <f>IF(OR(L87="",L87=0),"",ROUND(100/L87,0))</f>
        <v/>
      </c>
      <c r="N87" t="inlineStr"/>
    </row>
    <row r="88">
      <c r="A88" t="n">
        <v>213</v>
      </c>
      <c r="B88" t="inlineStr">
        <is>
          <t>Aphrodon Temple</t>
        </is>
      </c>
      <c r="C88" t="inlineStr">
        <is>
          <t>Silent Fragment of Origin</t>
        </is>
      </c>
      <c r="D88" t="n">
        <v>0.43476252</v>
      </c>
      <c r="E88" t="n">
        <v>6196.8</v>
      </c>
      <c r="F88" s="3" t="n">
        <v>0.07015919829589465</v>
      </c>
      <c r="G88" t="n">
        <v>14253</v>
      </c>
      <c r="H88" s="3" t="n">
        <v>0.06893149210902599</v>
      </c>
      <c r="I88" s="3" t="n">
        <v>0.07140328178504879</v>
      </c>
      <c r="J88" t="n">
        <v>12437</v>
      </c>
      <c r="K88">
        <f>IF(IFERROR(INDEX(Spots!$K$2:$K$96,MATCH(A88,Spots!$A$2:$A$96,0)),"")="","",IFERROR(INDEX(Spots!$K$2:$K$96,MATCH(A88,Spots!$A$2:$A$96,0)),""))</f>
        <v/>
      </c>
      <c r="L88" s="3">
        <f>IF(OR(K88="",F88=""),"",F88/1000*K88*100)</f>
        <v/>
      </c>
      <c r="M88">
        <f>IF(OR(L88="",L88=0),"",ROUND(100/L88,0))</f>
        <v/>
      </c>
      <c r="N88" t="inlineStr"/>
    </row>
    <row r="89">
      <c r="A89" t="n">
        <v>213</v>
      </c>
      <c r="B89" t="inlineStr">
        <is>
          <t>Aphrodon Temple</t>
        </is>
      </c>
      <c r="C89" t="inlineStr">
        <is>
          <t>Twilight of the End - Earring</t>
        </is>
      </c>
      <c r="D89" t="n">
        <v>0.39554737</v>
      </c>
      <c r="E89" t="n">
        <v>6196.8</v>
      </c>
      <c r="F89" s="3" t="n">
        <v>0.06383090788794216</v>
      </c>
      <c r="G89" t="n">
        <v>15666</v>
      </c>
      <c r="H89" s="3" t="n">
        <v>0.06266012631633358</v>
      </c>
      <c r="I89" s="3" t="n">
        <v>0.06501806915153886</v>
      </c>
      <c r="J89" t="n">
        <v>11315.2</v>
      </c>
      <c r="K89">
        <f>IF(IFERROR(INDEX(Spots!$K$2:$K$96,MATCH(A89,Spots!$A$2:$A$96,0)),"")="","",IFERROR(INDEX(Spots!$K$2:$K$96,MATCH(A89,Spots!$A$2:$A$96,0)),""))</f>
        <v/>
      </c>
      <c r="L89" s="3">
        <f>IF(OR(K89="",F89=""),"",F89/1000*K89*100)</f>
        <v/>
      </c>
      <c r="M89">
        <f>IF(OR(L89="",L89=0),"",ROUND(100/L89,0))</f>
        <v/>
      </c>
      <c r="N89" t="inlineStr"/>
    </row>
    <row r="90">
      <c r="A90" t="n">
        <v>213</v>
      </c>
      <c r="B90" t="inlineStr">
        <is>
          <t>Aphrodon Temple</t>
        </is>
      </c>
      <c r="C90" t="inlineStr">
        <is>
          <t>Nev's Fragment</t>
        </is>
      </c>
      <c r="D90" t="n">
        <v>0.3004924</v>
      </c>
      <c r="E90" t="n">
        <v>6196.8</v>
      </c>
      <c r="F90" s="3" t="n">
        <v>0.04849154402272141</v>
      </c>
      <c r="G90" t="n">
        <v>20622</v>
      </c>
      <c r="H90" s="3" t="n">
        <v>0.04747177850853283</v>
      </c>
      <c r="I90" s="3" t="n">
        <v>0.04952769685146671</v>
      </c>
      <c r="J90" t="n">
        <v>8596</v>
      </c>
      <c r="K90">
        <f>IF(IFERROR(INDEX(Spots!$K$2:$K$96,MATCH(A90,Spots!$A$2:$A$96,0)),"")="","",IFERROR(INDEX(Spots!$K$2:$K$96,MATCH(A90,Spots!$A$2:$A$96,0)),""))</f>
        <v/>
      </c>
      <c r="L90" s="3">
        <f>IF(OR(K90="",F90=""),"",F90/1000*K90*100)</f>
        <v/>
      </c>
      <c r="M90">
        <f>IF(OR(L90="",L90=0),"",ROUND(100/L90,0))</f>
        <v/>
      </c>
      <c r="N90" t="inlineStr"/>
    </row>
    <row r="91">
      <c r="A91" t="n">
        <v>213</v>
      </c>
      <c r="B91" t="inlineStr">
        <is>
          <t>Aphrodon Temple</t>
        </is>
      </c>
      <c r="C91" t="inlineStr">
        <is>
          <t>Fusion Shard</t>
        </is>
      </c>
      <c r="D91" t="n">
        <v>0.24443885</v>
      </c>
      <c r="E91" t="n">
        <v>6196.8</v>
      </c>
      <c r="F91" s="3" t="n">
        <v>0.03944598018332043</v>
      </c>
      <c r="G91" t="n">
        <v>25351</v>
      </c>
      <c r="H91" s="3" t="n">
        <v>0.03852675854309897</v>
      </c>
      <c r="I91" s="3" t="n">
        <v>0.04038159559020169</v>
      </c>
      <c r="J91" t="n">
        <v>6992.5</v>
      </c>
      <c r="K91">
        <f>IF(IFERROR(INDEX(Spots!$K$2:$K$96,MATCH(A91,Spots!$A$2:$A$96,0)),"")="","",IFERROR(INDEX(Spots!$K$2:$K$96,MATCH(A91,Spots!$A$2:$A$96,0)),""))</f>
        <v/>
      </c>
      <c r="L91" s="3">
        <f>IF(OR(K91="",F91=""),"",F91/1000*K91*100)</f>
        <v/>
      </c>
      <c r="M91">
        <f>IF(OR(L91="",L91=0),"",ROUND(100/L91,0))</f>
        <v/>
      </c>
      <c r="N91" t="inlineStr"/>
    </row>
    <row r="92">
      <c r="A92" t="n">
        <v>213</v>
      </c>
      <c r="B92" t="inlineStr">
        <is>
          <t>Aphrodon Temple</t>
        </is>
      </c>
      <c r="C92" t="inlineStr">
        <is>
          <t>Embers of Ynix - Armor</t>
        </is>
      </c>
      <c r="D92" t="n">
        <v>0.04582723</v>
      </c>
      <c r="E92" t="n">
        <v>6196.8</v>
      </c>
      <c r="F92" s="3" t="n">
        <v>0.007395305641621481</v>
      </c>
      <c r="G92" t="n">
        <v>135221</v>
      </c>
      <c r="H92" s="3" t="n">
        <v>0.007000342084411366</v>
      </c>
      <c r="I92" s="3" t="n">
        <v>0.007806748787041793</v>
      </c>
      <c r="J92" t="n">
        <v>1311</v>
      </c>
      <c r="K92">
        <f>IF(IFERROR(INDEX(Spots!$K$2:$K$96,MATCH(A92,Spots!$A$2:$A$96,0)),"")="","",IFERROR(INDEX(Spots!$K$2:$K$96,MATCH(A92,Spots!$A$2:$A$96,0)),""))</f>
        <v/>
      </c>
      <c r="L92" s="3">
        <f>IF(OR(K92="",F92=""),"",F92/1000*K92*100)</f>
        <v/>
      </c>
      <c r="M92">
        <f>IF(OR(L92="",L92=0),"",ROUND(100/L92,0))</f>
        <v/>
      </c>
      <c r="N92" t="inlineStr"/>
    </row>
    <row r="93">
      <c r="A93" t="n">
        <v>213</v>
      </c>
      <c r="B93" t="inlineStr">
        <is>
          <t>Aphrodon Temple</t>
        </is>
      </c>
      <c r="C93" t="inlineStr">
        <is>
          <t>WON Wandering Origin Crystal</t>
        </is>
      </c>
      <c r="D93" t="n">
        <v>0.01147715</v>
      </c>
      <c r="E93" t="n">
        <v>6196.8</v>
      </c>
      <c r="F93" s="3" t="n">
        <v>0.001852109153111283</v>
      </c>
      <c r="G93" t="n">
        <v>539925</v>
      </c>
      <c r="H93" s="3" t="n">
        <v>0.001657156381330732</v>
      </c>
      <c r="I93" s="3" t="n">
        <v>0.002063691085598253</v>
      </c>
      <c r="J93" t="n">
        <v>328.3</v>
      </c>
      <c r="K93">
        <f>IF(IFERROR(INDEX(Spots!$K$2:$K$96,MATCH(A93,Spots!$A$2:$A$96,0)),"")="","",IFERROR(INDEX(Spots!$K$2:$K$96,MATCH(A93,Spots!$A$2:$A$96,0)),""))</f>
        <v/>
      </c>
      <c r="L93" s="3">
        <f>IF(OR(K93="",F93=""),"",F93/1000*K93*100)</f>
        <v/>
      </c>
      <c r="M93">
        <f>IF(OR(L93="",L93=0),"",ROUND(100/L93,0))</f>
        <v/>
      </c>
      <c r="N93" t="inlineStr"/>
    </row>
    <row r="94">
      <c r="A94" t="n">
        <v>213</v>
      </c>
      <c r="B94" t="inlineStr">
        <is>
          <t>Aphrodon Temple</t>
        </is>
      </c>
      <c r="C94" t="inlineStr">
        <is>
          <t>Broken Vestige of Goldroot</t>
        </is>
      </c>
      <c r="D94" t="n">
        <v>0.00538343</v>
      </c>
      <c r="E94" t="n">
        <v>6196.8</v>
      </c>
      <c r="F94" s="3" t="n">
        <v>0.0008687435450555125</v>
      </c>
      <c r="G94" t="n">
        <v>1151088</v>
      </c>
      <c r="H94" s="3" t="n">
        <v>0.0007369438474630025</v>
      </c>
      <c r="I94" s="3" t="n">
        <v>0.001017308378225399</v>
      </c>
      <c r="J94" t="n">
        <v>154</v>
      </c>
      <c r="K94">
        <f>IF(IFERROR(INDEX(Spots!$K$2:$K$96,MATCH(A94,Spots!$A$2:$A$96,0)),"")="","",IFERROR(INDEX(Spots!$K$2:$K$96,MATCH(A94,Spots!$A$2:$A$96,0)),""))</f>
        <v/>
      </c>
      <c r="L94" s="3">
        <f>IF(OR(K94="",F94=""),"",F94/1000*K94*100)</f>
        <v/>
      </c>
      <c r="M94">
        <f>IF(OR(L94="",L94=0),"",ROUND(100/L94,0))</f>
        <v/>
      </c>
      <c r="N94" t="inlineStr"/>
    </row>
    <row r="95">
      <c r="A95" t="n">
        <v>213</v>
      </c>
      <c r="B95" t="inlineStr">
        <is>
          <t>Aphrodon Temple</t>
        </is>
      </c>
      <c r="C95" t="inlineStr">
        <is>
          <t>Silent Crystal of Origin</t>
        </is>
      </c>
      <c r="D95" t="n">
        <v>0.00373918</v>
      </c>
      <c r="E95" t="n">
        <v>6196.8</v>
      </c>
      <c r="F95" s="3" t="n">
        <v>0.0006034049832171443</v>
      </c>
      <c r="G95" t="n">
        <v>1657262</v>
      </c>
      <c r="H95" s="3" t="n">
        <v>0.0004944756572113942</v>
      </c>
      <c r="I95" s="3" t="n">
        <v>0.000729184771283337</v>
      </c>
      <c r="J95" t="n">
        <v>107</v>
      </c>
      <c r="K95">
        <f>IF(IFERROR(INDEX(Spots!$K$2:$K$96,MATCH(A95,Spots!$A$2:$A$96,0)),"")="","",IFERROR(INDEX(Spots!$K$2:$K$96,MATCH(A95,Spots!$A$2:$A$96,0)),""))</f>
        <v/>
      </c>
      <c r="L95" s="3">
        <f>IF(OR(K95="",F95=""),"",F95/1000*K95*100)</f>
        <v/>
      </c>
      <c r="M95">
        <f>IF(OR(L95="",L95=0),"",ROUND(100/L95,0))</f>
        <v/>
      </c>
      <c r="N95" t="inlineStr"/>
    </row>
    <row r="96">
      <c r="A96" t="n">
        <v>213</v>
      </c>
      <c r="B96" t="inlineStr">
        <is>
          <t>Aphrodon Temple</t>
        </is>
      </c>
      <c r="C96" t="inlineStr">
        <is>
          <t>Apeiron Earring</t>
        </is>
      </c>
      <c r="D96" t="n">
        <v>0.00080919</v>
      </c>
      <c r="E96" t="n">
        <v>6196.8</v>
      </c>
      <c r="F96" s="3" t="n">
        <v>0.0001305819132455461</v>
      </c>
      <c r="G96" t="n">
        <v>7658028</v>
      </c>
      <c r="H96" s="3" t="n">
        <v>8.288563012682442e-05</v>
      </c>
      <c r="I96" s="3" t="n">
        <v>0.0001956964316137154</v>
      </c>
      <c r="J96" t="n">
        <v>23.1</v>
      </c>
      <c r="K96">
        <f>IF(IFERROR(INDEX(Spots!$K$2:$K$96,MATCH(A96,Spots!$A$2:$A$96,0)),"")="","",IFERROR(INDEX(Spots!$K$2:$K$96,MATCH(A96,Spots!$A$2:$A$96,0)),""))</f>
        <v/>
      </c>
      <c r="L96" s="3">
        <f>IF(OR(K96="",F96=""),"",F96/1000*K96*100)</f>
        <v/>
      </c>
      <c r="M96">
        <f>IF(OR(L96="",L96=0),"",ROUND(100/L96,0))</f>
        <v/>
      </c>
      <c r="N96" t="inlineStr">
        <is>
          <t>low sample</t>
        </is>
      </c>
    </row>
    <row r="97">
      <c r="A97" t="n">
        <v>216</v>
      </c>
      <c r="B97" t="inlineStr">
        <is>
          <t>Aresion Temple</t>
        </is>
      </c>
      <c r="C97" t="inlineStr">
        <is>
          <t>Ancient Spirit Dust</t>
        </is>
      </c>
      <c r="D97" t="n">
        <v>48.563</v>
      </c>
      <c r="E97" t="n">
        <v>6429.9</v>
      </c>
      <c r="F97" s="3" t="n">
        <v>7.552683556509433</v>
      </c>
      <c r="G97" t="n">
        <v>132</v>
      </c>
      <c r="H97" s="3" t="n">
        <v>7.537532554996902</v>
      </c>
      <c r="I97" s="3" t="n">
        <v>7.567857488247555</v>
      </c>
      <c r="J97" t="n">
        <v>953678.6</v>
      </c>
      <c r="K97">
        <f>IF(IFERROR(INDEX(Spots!$K$2:$K$96,MATCH(A97,Spots!$A$2:$A$96,0)),"")="","",IFERROR(INDEX(Spots!$K$2:$K$96,MATCH(A97,Spots!$A$2:$A$96,0)),""))</f>
        <v/>
      </c>
      <c r="L97" s="3">
        <f>IF(OR(K97="",F97=""),"",F97/1000*K97*100)</f>
        <v/>
      </c>
      <c r="M97">
        <f>IF(OR(L97="",L97=0),"",ROUND(100/L97,0))</f>
        <v/>
      </c>
      <c r="N97" t="inlineStr"/>
    </row>
    <row r="98">
      <c r="A98" t="n">
        <v>216</v>
      </c>
      <c r="B98" t="inlineStr">
        <is>
          <t>Aresion Temple</t>
        </is>
      </c>
      <c r="C98" t="inlineStr">
        <is>
          <t>Black Stone</t>
        </is>
      </c>
      <c r="D98" t="n">
        <v>8.901790999999999</v>
      </c>
      <c r="E98" t="n">
        <v>6429.9</v>
      </c>
      <c r="F98" s="3" t="n">
        <v>1.384436927479432</v>
      </c>
      <c r="G98" t="n">
        <v>722</v>
      </c>
      <c r="H98" s="3" t="n">
        <v>1.37795446778279</v>
      </c>
      <c r="I98" s="3" t="n">
        <v>1.390942328009054</v>
      </c>
      <c r="J98" t="n">
        <v>174813.1</v>
      </c>
      <c r="K98">
        <f>IF(IFERROR(INDEX(Spots!$K$2:$K$96,MATCH(A98,Spots!$A$2:$A$96,0)),"")="","",IFERROR(INDEX(Spots!$K$2:$K$96,MATCH(A98,Spots!$A$2:$A$96,0)),""))</f>
        <v/>
      </c>
      <c r="L98" s="3">
        <f>IF(OR(K98="",F98=""),"",F98/1000*K98*100)</f>
        <v/>
      </c>
      <c r="M98">
        <f>IF(OR(L98="",L98=0),"",ROUND(100/L98,0))</f>
        <v/>
      </c>
      <c r="N98" t="inlineStr"/>
    </row>
    <row r="99">
      <c r="A99" t="n">
        <v>216</v>
      </c>
      <c r="B99" t="inlineStr">
        <is>
          <t>Aresion Temple</t>
        </is>
      </c>
      <c r="C99" t="inlineStr">
        <is>
          <t>Caphras Stone</t>
        </is>
      </c>
      <c r="D99" t="n">
        <v>7.531467</v>
      </c>
      <c r="E99" t="n">
        <v>6429.9</v>
      </c>
      <c r="F99" s="3" t="n">
        <v>1.1713194606448</v>
      </c>
      <c r="G99" t="n">
        <v>854</v>
      </c>
      <c r="H99" s="3" t="n">
        <v>1.165357390664563</v>
      </c>
      <c r="I99" s="3" t="n">
        <v>1.177304473074444</v>
      </c>
      <c r="J99" t="n">
        <v>147902.7</v>
      </c>
      <c r="K99">
        <f>IF(IFERROR(INDEX(Spots!$K$2:$K$96,MATCH(A99,Spots!$A$2:$A$96,0)),"")="","",IFERROR(INDEX(Spots!$K$2:$K$96,MATCH(A99,Spots!$A$2:$A$96,0)),""))</f>
        <v/>
      </c>
      <c r="L99" s="3">
        <f>IF(OR(K99="",F99=""),"",F99/1000*K99*100)</f>
        <v/>
      </c>
      <c r="M99">
        <f>IF(OR(L99="",L99=0),"",ROUND(100/L99,0))</f>
        <v/>
      </c>
      <c r="N99" t="inlineStr"/>
    </row>
    <row r="100">
      <c r="A100" t="n">
        <v>216</v>
      </c>
      <c r="B100" t="inlineStr">
        <is>
          <t>Aresion Temple</t>
        </is>
      </c>
      <c r="C100" t="inlineStr">
        <is>
          <t>HAN Origin Shard</t>
        </is>
      </c>
      <c r="D100" t="n">
        <v>1.628961</v>
      </c>
      <c r="E100" t="n">
        <v>6429.9</v>
      </c>
      <c r="F100" s="3" t="n">
        <v>0.253341576074278</v>
      </c>
      <c r="G100" t="n">
        <v>3947</v>
      </c>
      <c r="H100" s="3" t="n">
        <v>0.2505728320276227</v>
      </c>
      <c r="I100" s="3" t="n">
        <v>0.2561332857417515</v>
      </c>
      <c r="J100" t="n">
        <v>31989.5</v>
      </c>
      <c r="K100">
        <f>IF(IFERROR(INDEX(Spots!$K$2:$K$96,MATCH(A100,Spots!$A$2:$A$96,0)),"")="","",IFERROR(INDEX(Spots!$K$2:$K$96,MATCH(A100,Spots!$A$2:$A$96,0)),""))</f>
        <v/>
      </c>
      <c r="L100" s="3">
        <f>IF(OR(K100="",F100=""),"",F100/1000*K100*100)</f>
        <v/>
      </c>
      <c r="M100">
        <f>IF(OR(L100="",L100=0),"",ROUND(100/L100,0))</f>
        <v/>
      </c>
      <c r="N100" t="inlineStr"/>
    </row>
    <row r="101">
      <c r="A101" t="n">
        <v>216</v>
      </c>
      <c r="B101" t="inlineStr">
        <is>
          <t>Aresion Temple</t>
        </is>
      </c>
      <c r="C101" t="inlineStr">
        <is>
          <t>Corrupt Oil of Immortality</t>
        </is>
      </c>
      <c r="D101" t="n">
        <v>0.42488574</v>
      </c>
      <c r="E101" t="n">
        <v>6429.9</v>
      </c>
      <c r="F101" s="3" t="n">
        <v>0.06607968086595437</v>
      </c>
      <c r="G101" t="n">
        <v>15133</v>
      </c>
      <c r="H101" s="3" t="n">
        <v>0.06466931509112063</v>
      </c>
      <c r="I101" s="3" t="n">
        <v>0.06751305368442061</v>
      </c>
      <c r="J101" t="n">
        <v>8343.9</v>
      </c>
      <c r="K101">
        <f>IF(IFERROR(INDEX(Spots!$K$2:$K$96,MATCH(A101,Spots!$A$2:$A$96,0)),"")="","",IFERROR(INDEX(Spots!$K$2:$K$96,MATCH(A101,Spots!$A$2:$A$96,0)),""))</f>
        <v/>
      </c>
      <c r="L101" s="3">
        <f>IF(OR(K101="",F101=""),"",F101/1000*K101*100)</f>
        <v/>
      </c>
      <c r="M101">
        <f>IF(OR(L101="",L101=0),"",ROUND(100/L101,0))</f>
        <v/>
      </c>
      <c r="N101" t="inlineStr"/>
    </row>
    <row r="102">
      <c r="A102" t="n">
        <v>216</v>
      </c>
      <c r="B102" t="inlineStr">
        <is>
          <t>Aresion Temple</t>
        </is>
      </c>
      <c r="C102" t="inlineStr">
        <is>
          <t>Fusion Shard</t>
        </is>
      </c>
      <c r="D102" t="n">
        <v>0.37049395</v>
      </c>
      <c r="E102" t="n">
        <v>6429.9</v>
      </c>
      <c r="F102" s="3" t="n">
        <v>0.05762048398886453</v>
      </c>
      <c r="G102" t="n">
        <v>17355</v>
      </c>
      <c r="H102" s="3" t="n">
        <v>0.056303980991873</v>
      </c>
      <c r="I102" s="3" t="n">
        <v>0.05896000002308624</v>
      </c>
      <c r="J102" t="n">
        <v>7275.7</v>
      </c>
      <c r="K102">
        <f>IF(IFERROR(INDEX(Spots!$K$2:$K$96,MATCH(A102,Spots!$A$2:$A$96,0)),"")="","",IFERROR(INDEX(Spots!$K$2:$K$96,MATCH(A102,Spots!$A$2:$A$96,0)),""))</f>
        <v/>
      </c>
      <c r="L102" s="3">
        <f>IF(OR(K102="",F102=""),"",F102/1000*K102*100)</f>
        <v/>
      </c>
      <c r="M102">
        <f>IF(OR(L102="",L102=0),"",ROUND(100/L102,0))</f>
        <v/>
      </c>
      <c r="N102" t="inlineStr"/>
    </row>
    <row r="103">
      <c r="A103" t="n">
        <v>216</v>
      </c>
      <c r="B103" t="inlineStr">
        <is>
          <t>Aresion Temple</t>
        </is>
      </c>
      <c r="C103" t="inlineStr">
        <is>
          <t>Nev's Fragment</t>
        </is>
      </c>
      <c r="D103" t="n">
        <v>0.36843044</v>
      </c>
      <c r="E103" t="n">
        <v>6429.9</v>
      </c>
      <c r="F103" s="3" t="n">
        <v>0.05729955986873825</v>
      </c>
      <c r="G103" t="n">
        <v>17452</v>
      </c>
      <c r="H103" s="3" t="n">
        <v>0.05598674920001462</v>
      </c>
      <c r="I103" s="3" t="n">
        <v>0.05863538382784013</v>
      </c>
      <c r="J103" t="n">
        <v>7235.2</v>
      </c>
      <c r="K103">
        <f>IF(IFERROR(INDEX(Spots!$K$2:$K$96,MATCH(A103,Spots!$A$2:$A$96,0)),"")="","",IFERROR(INDEX(Spots!$K$2:$K$96,MATCH(A103,Spots!$A$2:$A$96,0)),""))</f>
        <v/>
      </c>
      <c r="L103" s="3">
        <f>IF(OR(K103="",F103=""),"",F103/1000*K103*100)</f>
        <v/>
      </c>
      <c r="M103">
        <f>IF(OR(L103="",L103=0),"",ROUND(100/L103,0))</f>
        <v/>
      </c>
      <c r="N103" t="inlineStr"/>
    </row>
    <row r="104">
      <c r="A104" t="n">
        <v>216</v>
      </c>
      <c r="B104" t="inlineStr">
        <is>
          <t>Aresion Temple</t>
        </is>
      </c>
      <c r="C104" t="inlineStr">
        <is>
          <t>Twilight of the End - Necklace</t>
        </is>
      </c>
      <c r="D104" t="n">
        <v>0.35326784</v>
      </c>
      <c r="E104" t="n">
        <v>6429.9</v>
      </c>
      <c r="F104" s="3" t="n">
        <v>0.05494142055086394</v>
      </c>
      <c r="G104" t="n">
        <v>18201</v>
      </c>
      <c r="H104" s="3" t="n">
        <v>0.05365606436241442</v>
      </c>
      <c r="I104" s="3" t="n">
        <v>0.05624979195721098</v>
      </c>
      <c r="J104" t="n">
        <v>6937.5</v>
      </c>
      <c r="K104">
        <f>IF(IFERROR(INDEX(Spots!$K$2:$K$96,MATCH(A104,Spots!$A$2:$A$96,0)),"")="","",IFERROR(INDEX(Spots!$K$2:$K$96,MATCH(A104,Spots!$A$2:$A$96,0)),""))</f>
        <v/>
      </c>
      <c r="L104" s="3">
        <f>IF(OR(K104="",F104=""),"",F104/1000*K104*100)</f>
        <v/>
      </c>
      <c r="M104">
        <f>IF(OR(L104="",L104=0),"",ROUND(100/L104,0))</f>
        <v/>
      </c>
      <c r="N104" t="inlineStr"/>
    </row>
    <row r="105">
      <c r="A105" t="n">
        <v>216</v>
      </c>
      <c r="B105" t="inlineStr">
        <is>
          <t>Aresion Temple</t>
        </is>
      </c>
      <c r="C105" t="inlineStr">
        <is>
          <t>Twilight of the End - Belt</t>
        </is>
      </c>
      <c r="D105" t="n">
        <v>0.15261895</v>
      </c>
      <c r="E105" t="n">
        <v>6429.9</v>
      </c>
      <c r="F105" s="3" t="n">
        <v>0.02373582015272399</v>
      </c>
      <c r="G105" t="n">
        <v>42130</v>
      </c>
      <c r="H105" s="3" t="n">
        <v>0.02289356133556847</v>
      </c>
      <c r="I105" s="3" t="n">
        <v>0.02460114245193729</v>
      </c>
      <c r="J105" t="n">
        <v>2997.1</v>
      </c>
      <c r="K105">
        <f>IF(IFERROR(INDEX(Spots!$K$2:$K$96,MATCH(A105,Spots!$A$2:$A$96,0)),"")="","",IFERROR(INDEX(Spots!$K$2:$K$96,MATCH(A105,Spots!$A$2:$A$96,0)),""))</f>
        <v/>
      </c>
      <c r="L105" s="3">
        <f>IF(OR(K105="",F105=""),"",F105/1000*K105*100)</f>
        <v/>
      </c>
      <c r="M105">
        <f>IF(OR(L105="",L105=0),"",ROUND(100/L105,0))</f>
        <v/>
      </c>
      <c r="N105" t="inlineStr"/>
    </row>
    <row r="106">
      <c r="A106" t="n">
        <v>216</v>
      </c>
      <c r="B106" t="inlineStr">
        <is>
          <t>Aresion Temple</t>
        </is>
      </c>
      <c r="C106" t="inlineStr">
        <is>
          <t>Twilight of the End - Ring</t>
        </is>
      </c>
      <c r="D106" t="n">
        <v>0.13178512</v>
      </c>
      <c r="E106" t="n">
        <v>6429.9</v>
      </c>
      <c r="F106" s="3" t="n">
        <v>0.02049567178338699</v>
      </c>
      <c r="G106" t="n">
        <v>48791</v>
      </c>
      <c r="H106" s="3" t="n">
        <v>0.01971354333340138</v>
      </c>
      <c r="I106" s="3" t="n">
        <v>0.02130087442043153</v>
      </c>
      <c r="J106" t="n">
        <v>2588</v>
      </c>
      <c r="K106">
        <f>IF(IFERROR(INDEX(Spots!$K$2:$K$96,MATCH(A106,Spots!$A$2:$A$96,0)),"")="","",IFERROR(INDEX(Spots!$K$2:$K$96,MATCH(A106,Spots!$A$2:$A$96,0)),""))</f>
        <v/>
      </c>
      <c r="L106" s="3">
        <f>IF(OR(K106="",F106=""),"",F106/1000*K106*100)</f>
        <v/>
      </c>
      <c r="M106">
        <f>IF(OR(L106="",L106=0),"",ROUND(100/L106,0))</f>
        <v/>
      </c>
      <c r="N106" t="inlineStr"/>
    </row>
    <row r="107">
      <c r="A107" t="n">
        <v>216</v>
      </c>
      <c r="B107" t="inlineStr">
        <is>
          <t>Aresion Temple</t>
        </is>
      </c>
      <c r="C107" t="inlineStr">
        <is>
          <t>Twilight of the End - Earring</t>
        </is>
      </c>
      <c r="D107" t="n">
        <v>0.12829429</v>
      </c>
      <c r="E107" t="n">
        <v>6429.9</v>
      </c>
      <c r="F107" s="3" t="n">
        <v>0.01995276598391888</v>
      </c>
      <c r="G107" t="n">
        <v>50118</v>
      </c>
      <c r="H107" s="3" t="n">
        <v>0.01918116653870116</v>
      </c>
      <c r="I107" s="3" t="n">
        <v>0.02074744165989414</v>
      </c>
      <c r="J107" t="n">
        <v>2519.4</v>
      </c>
      <c r="K107">
        <f>IF(IFERROR(INDEX(Spots!$K$2:$K$96,MATCH(A107,Spots!$A$2:$A$96,0)),"")="","",IFERROR(INDEX(Spots!$K$2:$K$96,MATCH(A107,Spots!$A$2:$A$96,0)),""))</f>
        <v/>
      </c>
      <c r="L107" s="3">
        <f>IF(OR(K107="",F107=""),"",F107/1000*K107*100)</f>
        <v/>
      </c>
      <c r="M107">
        <f>IF(OR(L107="",L107=0),"",ROUND(100/L107,0))</f>
        <v/>
      </c>
      <c r="N107" t="inlineStr"/>
    </row>
    <row r="108">
      <c r="A108" t="n">
        <v>216</v>
      </c>
      <c r="B108" t="inlineStr">
        <is>
          <t>Aresion Temple</t>
        </is>
      </c>
      <c r="C108" t="inlineStr">
        <is>
          <t>Sunset Primordial Luster - Edana</t>
        </is>
      </c>
      <c r="D108" t="n">
        <v>0.10761384</v>
      </c>
      <c r="E108" t="n">
        <v>6429.9</v>
      </c>
      <c r="F108" s="3" t="n">
        <v>0.01673647179582886</v>
      </c>
      <c r="G108" t="n">
        <v>59750</v>
      </c>
      <c r="H108" s="3" t="n">
        <v>0.01603042800241557</v>
      </c>
      <c r="I108" s="3" t="n">
        <v>0.01746560589442931</v>
      </c>
      <c r="J108" t="n">
        <v>2113.3</v>
      </c>
      <c r="K108">
        <f>IF(IFERROR(INDEX(Spots!$K$2:$K$96,MATCH(A108,Spots!$A$2:$A$96,0)),"")="","",IFERROR(INDEX(Spots!$K$2:$K$96,MATCH(A108,Spots!$A$2:$A$96,0)),""))</f>
        <v/>
      </c>
      <c r="L108" s="3">
        <f>IF(OR(K108="",F108=""),"",F108/1000*K108*100)</f>
        <v/>
      </c>
      <c r="M108">
        <f>IF(OR(L108="",L108=0),"",ROUND(100/L108,0))</f>
        <v/>
      </c>
      <c r="N108" t="inlineStr"/>
    </row>
    <row r="109">
      <c r="A109" t="n">
        <v>216</v>
      </c>
      <c r="B109" t="inlineStr">
        <is>
          <t>Aresion Temple</t>
        </is>
      </c>
      <c r="C109" t="inlineStr">
        <is>
          <t>White Primordial Luster - Edana</t>
        </is>
      </c>
      <c r="D109" t="n">
        <v>0.09096417</v>
      </c>
      <c r="E109" t="n">
        <v>6429.9</v>
      </c>
      <c r="F109" s="3" t="n">
        <v>0.01414705827462324</v>
      </c>
      <c r="G109" t="n">
        <v>70686</v>
      </c>
      <c r="H109" s="3" t="n">
        <v>0.01349853576999952</v>
      </c>
      <c r="I109" s="3" t="n">
        <v>0.01481868573806817</v>
      </c>
      <c r="J109" t="n">
        <v>1786.4</v>
      </c>
      <c r="K109">
        <f>IF(IFERROR(INDEX(Spots!$K$2:$K$96,MATCH(A109,Spots!$A$2:$A$96,0)),"")="","",IFERROR(INDEX(Spots!$K$2:$K$96,MATCH(A109,Spots!$A$2:$A$96,0)),""))</f>
        <v/>
      </c>
      <c r="L109" s="3">
        <f>IF(OR(K109="",F109=""),"",F109/1000*K109*100)</f>
        <v/>
      </c>
      <c r="M109">
        <f>IF(OR(L109="",L109=0),"",ROUND(100/L109,0))</f>
        <v/>
      </c>
      <c r="N109" t="inlineStr"/>
    </row>
    <row r="110">
      <c r="A110" t="n">
        <v>216</v>
      </c>
      <c r="B110" t="inlineStr">
        <is>
          <t>Aresion Temple</t>
        </is>
      </c>
      <c r="C110" t="inlineStr">
        <is>
          <t>White Primordial Luster - Sovereign</t>
        </is>
      </c>
      <c r="D110" t="n">
        <v>0.09020104</v>
      </c>
      <c r="E110" t="n">
        <v>6429.9</v>
      </c>
      <c r="F110" s="3" t="n">
        <v>0.01402837369165928</v>
      </c>
      <c r="G110" t="n">
        <v>71284</v>
      </c>
      <c r="H110" s="3" t="n">
        <v>0.01338260903026343</v>
      </c>
      <c r="I110" s="3" t="n">
        <v>0.01469724407890891</v>
      </c>
      <c r="J110" t="n">
        <v>1771.4</v>
      </c>
      <c r="K110">
        <f>IF(IFERROR(INDEX(Spots!$K$2:$K$96,MATCH(A110,Spots!$A$2:$A$96,0)),"")="","",IFERROR(INDEX(Spots!$K$2:$K$96,MATCH(A110,Spots!$A$2:$A$96,0)),""))</f>
        <v/>
      </c>
      <c r="L110" s="3">
        <f>IF(OR(K110="",F110=""),"",F110/1000*K110*100)</f>
        <v/>
      </c>
      <c r="M110">
        <f>IF(OR(L110="",L110=0),"",ROUND(100/L110,0))</f>
        <v/>
      </c>
      <c r="N110" t="inlineStr"/>
    </row>
    <row r="111">
      <c r="A111" t="n">
        <v>216</v>
      </c>
      <c r="B111" t="inlineStr">
        <is>
          <t>Aresion Temple</t>
        </is>
      </c>
      <c r="C111" t="inlineStr">
        <is>
          <t>Crimson Primordial Luster - Sovereign</t>
        </is>
      </c>
      <c r="D111" t="n">
        <v>0.07475537</v>
      </c>
      <c r="E111" t="n">
        <v>6429.9</v>
      </c>
      <c r="F111" s="3" t="n">
        <v>0.01162621036096984</v>
      </c>
      <c r="G111" t="n">
        <v>86013</v>
      </c>
      <c r="H111" s="3" t="n">
        <v>0.01103900678019871</v>
      </c>
      <c r="I111" s="3" t="n">
        <v>0.01223653762412413</v>
      </c>
      <c r="J111" t="n">
        <v>1468</v>
      </c>
      <c r="K111">
        <f>IF(IFERROR(INDEX(Spots!$K$2:$K$96,MATCH(A111,Spots!$A$2:$A$96,0)),"")="","",IFERROR(INDEX(Spots!$K$2:$K$96,MATCH(A111,Spots!$A$2:$A$96,0)),""))</f>
        <v/>
      </c>
      <c r="L111" s="3">
        <f>IF(OR(K111="",F111=""),"",F111/1000*K111*100)</f>
        <v/>
      </c>
      <c r="M111">
        <f>IF(OR(L111="",L111=0),"",ROUND(100/L111,0))</f>
        <v/>
      </c>
      <c r="N111" t="inlineStr"/>
    </row>
    <row r="112">
      <c r="A112" t="n">
        <v>216</v>
      </c>
      <c r="B112" t="inlineStr">
        <is>
          <t>Aresion Temple</t>
        </is>
      </c>
      <c r="C112" t="inlineStr">
        <is>
          <t>Violet Primordial Luster - Edana</t>
        </is>
      </c>
      <c r="D112" t="n">
        <v>0.07465127000000001</v>
      </c>
      <c r="E112" t="n">
        <v>6429.9</v>
      </c>
      <c r="F112" s="3" t="n">
        <v>0.01161002037356724</v>
      </c>
      <c r="G112" t="n">
        <v>86132</v>
      </c>
      <c r="H112" s="3" t="n">
        <v>0.01102323105682955</v>
      </c>
      <c r="I112" s="3" t="n">
        <v>0.01221993351224146</v>
      </c>
      <c r="J112" t="n">
        <v>1466</v>
      </c>
      <c r="K112">
        <f>IF(IFERROR(INDEX(Spots!$K$2:$K$96,MATCH(A112,Spots!$A$2:$A$96,0)),"")="","",IFERROR(INDEX(Spots!$K$2:$K$96,MATCH(A112,Spots!$A$2:$A$96,0)),""))</f>
        <v/>
      </c>
      <c r="L112" s="3">
        <f>IF(OR(K112="",F112=""),"",F112/1000*K112*100)</f>
        <v/>
      </c>
      <c r="M112">
        <f>IF(OR(L112="",L112=0),"",ROUND(100/L112,0))</f>
        <v/>
      </c>
      <c r="N112" t="inlineStr"/>
    </row>
    <row r="113">
      <c r="A113" t="n">
        <v>216</v>
      </c>
      <c r="B113" t="inlineStr">
        <is>
          <t>Aresion Temple</t>
        </is>
      </c>
      <c r="C113" t="inlineStr">
        <is>
          <t>Violet Primordial Luster - Sovereign</t>
        </is>
      </c>
      <c r="D113" t="n">
        <v>0.07417635</v>
      </c>
      <c r="E113" t="n">
        <v>6429.9</v>
      </c>
      <c r="F113" s="3" t="n">
        <v>0.01153615919376662</v>
      </c>
      <c r="G113" t="n">
        <v>86684</v>
      </c>
      <c r="H113" s="3" t="n">
        <v>0.01095126348796817</v>
      </c>
      <c r="I113" s="3" t="n">
        <v>0.01214417936187318</v>
      </c>
      <c r="J113" t="n">
        <v>1456.7</v>
      </c>
      <c r="K113">
        <f>IF(IFERROR(INDEX(Spots!$K$2:$K$96,MATCH(A113,Spots!$A$2:$A$96,0)),"")="","",IFERROR(INDEX(Spots!$K$2:$K$96,MATCH(A113,Spots!$A$2:$A$96,0)),""))</f>
        <v/>
      </c>
      <c r="L113" s="3">
        <f>IF(OR(K113="",F113=""),"",F113/1000*K113*100)</f>
        <v/>
      </c>
      <c r="M113">
        <f>IF(OR(L113="",L113=0),"",ROUND(100/L113,0))</f>
        <v/>
      </c>
      <c r="N113" t="inlineStr"/>
    </row>
    <row r="114">
      <c r="A114" t="n">
        <v>216</v>
      </c>
      <c r="B114" t="inlineStr">
        <is>
          <t>Aresion Temple</t>
        </is>
      </c>
      <c r="C114" t="inlineStr">
        <is>
          <t>Embers of Ynix - Gloves</t>
        </is>
      </c>
      <c r="D114" t="n">
        <v>0.03756563</v>
      </c>
      <c r="E114" t="n">
        <v>6429.9</v>
      </c>
      <c r="F114" s="3" t="n">
        <v>0.005842335028538547</v>
      </c>
      <c r="G114" t="n">
        <v>171164</v>
      </c>
      <c r="H114" s="3" t="n">
        <v>0.005428282572733285</v>
      </c>
      <c r="I114" s="3" t="n">
        <v>0.006279593187319312</v>
      </c>
      <c r="J114" t="n">
        <v>737.7</v>
      </c>
      <c r="K114">
        <f>IF(IFERROR(INDEX(Spots!$K$2:$K$96,MATCH(A114,Spots!$A$2:$A$96,0)),"")="","",IFERROR(INDEX(Spots!$K$2:$K$96,MATCH(A114,Spots!$A$2:$A$96,0)),""))</f>
        <v/>
      </c>
      <c r="L114" s="3">
        <f>IF(OR(K114="",F114=""),"",F114/1000*K114*100)</f>
        <v/>
      </c>
      <c r="M114">
        <f>IF(OR(L114="",L114=0),"",ROUND(100/L114,0))</f>
        <v/>
      </c>
      <c r="N114" t="inlineStr"/>
    </row>
    <row r="115">
      <c r="A115" t="n">
        <v>216</v>
      </c>
      <c r="B115" t="inlineStr">
        <is>
          <t>Aresion Temple</t>
        </is>
      </c>
      <c r="C115" t="inlineStr">
        <is>
          <t>Silent Fragment of Origin</t>
        </is>
      </c>
      <c r="D115" t="n">
        <v>0.03400954</v>
      </c>
      <c r="E115" t="n">
        <v>6429.9</v>
      </c>
      <c r="F115" s="3" t="n">
        <v>0.005289279771069535</v>
      </c>
      <c r="G115" t="n">
        <v>189062</v>
      </c>
      <c r="H115" s="3" t="n">
        <v>0.004895680511699196</v>
      </c>
      <c r="I115" s="3" t="n">
        <v>0.005706099054612919</v>
      </c>
      <c r="J115" t="n">
        <v>667.9</v>
      </c>
      <c r="K115">
        <f>IF(IFERROR(INDEX(Spots!$K$2:$K$96,MATCH(A115,Spots!$A$2:$A$96,0)),"")="","",IFERROR(INDEX(Spots!$K$2:$K$96,MATCH(A115,Spots!$A$2:$A$96,0)),""))</f>
        <v/>
      </c>
      <c r="L115" s="3">
        <f>IF(OR(K115="",F115=""),"",F115/1000*K115*100)</f>
        <v/>
      </c>
      <c r="M115">
        <f>IF(OR(L115="",L115=0),"",ROUND(100/L115,0))</f>
        <v/>
      </c>
      <c r="N115" t="inlineStr"/>
    </row>
    <row r="116">
      <c r="A116" t="n">
        <v>216</v>
      </c>
      <c r="B116" t="inlineStr">
        <is>
          <t>Aresion Temple</t>
        </is>
      </c>
      <c r="C116" t="inlineStr">
        <is>
          <t>Refined Essence of Devouring</t>
        </is>
      </c>
      <c r="D116" t="n">
        <v>0.03054792</v>
      </c>
      <c r="E116" t="n">
        <v>6429.9</v>
      </c>
      <c r="F116" s="3" t="n">
        <v>0.004750916810525824</v>
      </c>
      <c r="G116" t="n">
        <v>210486</v>
      </c>
      <c r="H116" s="3" t="n">
        <v>0.004378282938863776</v>
      </c>
      <c r="I116" s="3" t="n">
        <v>0.005146786969579502</v>
      </c>
      <c r="J116" t="n">
        <v>599.9</v>
      </c>
      <c r="K116">
        <f>IF(IFERROR(INDEX(Spots!$K$2:$K$96,MATCH(A116,Spots!$A$2:$A$96,0)),"")="","",IFERROR(INDEX(Spots!$K$2:$K$96,MATCH(A116,Spots!$A$2:$A$96,0)),""))</f>
        <v/>
      </c>
      <c r="L116" s="3">
        <f>IF(OR(K116="",F116=""),"",F116/1000*K116*100)</f>
        <v/>
      </c>
      <c r="M116">
        <f>IF(OR(L116="",L116=0),"",ROUND(100/L116,0))</f>
        <v/>
      </c>
      <c r="N116" t="inlineStr"/>
    </row>
    <row r="117">
      <c r="A117" t="n">
        <v>216</v>
      </c>
      <c r="B117" t="inlineStr">
        <is>
          <t>Aresion Temple</t>
        </is>
      </c>
      <c r="C117" t="inlineStr">
        <is>
          <t>Refined Origin of Hunger</t>
        </is>
      </c>
      <c r="D117" t="n">
        <v>0.00793282</v>
      </c>
      <c r="E117" t="n">
        <v>6429.9</v>
      </c>
      <c r="F117" s="3" t="n">
        <v>0.001233739249444004</v>
      </c>
      <c r="G117" t="n">
        <v>810544</v>
      </c>
      <c r="H117" s="3" t="n">
        <v>0.00104759544214605</v>
      </c>
      <c r="I117" s="3" t="n">
        <v>0.001443415809332852</v>
      </c>
      <c r="J117" t="n">
        <v>155.8</v>
      </c>
      <c r="K117">
        <f>IF(IFERROR(INDEX(Spots!$K$2:$K$96,MATCH(A117,Spots!$A$2:$A$96,0)),"")="","",IFERROR(INDEX(Spots!$K$2:$K$96,MATCH(A117,Spots!$A$2:$A$96,0)),""))</f>
        <v/>
      </c>
      <c r="L117" s="3">
        <f>IF(OR(K117="",F117=""),"",F117/1000*K117*100)</f>
        <v/>
      </c>
      <c r="M117">
        <f>IF(OR(L117="",L117=0),"",ROUND(100/L117,0))</f>
        <v/>
      </c>
      <c r="N117" t="inlineStr"/>
    </row>
    <row r="118">
      <c r="A118" t="n">
        <v>216</v>
      </c>
      <c r="B118" t="inlineStr">
        <is>
          <t>Aresion Temple</t>
        </is>
      </c>
      <c r="C118" t="inlineStr">
        <is>
          <t>HAN Wandering Origin Crystal</t>
        </is>
      </c>
      <c r="D118" t="n">
        <v>0.00765038</v>
      </c>
      <c r="E118" t="n">
        <v>6429.9</v>
      </c>
      <c r="F118" s="3" t="n">
        <v>0.001189813216379726</v>
      </c>
      <c r="G118" t="n">
        <v>840468</v>
      </c>
      <c r="H118" s="3" t="n">
        <v>0.001007151225421537</v>
      </c>
      <c r="I118" s="3" t="n">
        <v>0.001396018903750102</v>
      </c>
      <c r="J118" t="n">
        <v>150.2</v>
      </c>
      <c r="K118">
        <f>IF(IFERROR(INDEX(Spots!$K$2:$K$96,MATCH(A118,Spots!$A$2:$A$96,0)),"")="","",IFERROR(INDEX(Spots!$K$2:$K$96,MATCH(A118,Spots!$A$2:$A$96,0)),""))</f>
        <v/>
      </c>
      <c r="L118" s="3">
        <f>IF(OR(K118="",F118=""),"",F118/1000*K118*100)</f>
        <v/>
      </c>
      <c r="M118">
        <f>IF(OR(L118="",L118=0),"",ROUND(100/L118,0))</f>
        <v/>
      </c>
      <c r="N118" t="inlineStr"/>
    </row>
    <row r="119">
      <c r="A119" t="n">
        <v>216</v>
      </c>
      <c r="B119" t="inlineStr">
        <is>
          <t>Aresion Temple</t>
        </is>
      </c>
      <c r="C119" t="inlineStr">
        <is>
          <t>Broken Vestige of Crimsonflare</t>
        </is>
      </c>
      <c r="D119" t="n">
        <v>0.00582428</v>
      </c>
      <c r="E119" t="n">
        <v>6429.9</v>
      </c>
      <c r="F119" s="3" t="n">
        <v>0.000905811909983048</v>
      </c>
      <c r="G119" t="n">
        <v>1103982</v>
      </c>
      <c r="H119" s="3" t="n">
        <v>0.0007474155114450663</v>
      </c>
      <c r="I119" s="3" t="n">
        <v>0.001087840696243301</v>
      </c>
      <c r="J119" t="n">
        <v>114.4</v>
      </c>
      <c r="K119">
        <f>IF(IFERROR(INDEX(Spots!$K$2:$K$96,MATCH(A119,Spots!$A$2:$A$96,0)),"")="","",IFERROR(INDEX(Spots!$K$2:$K$96,MATCH(A119,Spots!$A$2:$A$96,0)),""))</f>
        <v/>
      </c>
      <c r="L119" s="3">
        <f>IF(OR(K119="",F119=""),"",F119/1000*K119*100)</f>
        <v/>
      </c>
      <c r="M119">
        <f>IF(OR(L119="",L119=0),"",ROUND(100/L119,0))</f>
        <v/>
      </c>
      <c r="N119" t="inlineStr"/>
    </row>
    <row r="120">
      <c r="A120" t="n">
        <v>216</v>
      </c>
      <c r="B120" t="inlineStr">
        <is>
          <t>Aresion Temple</t>
        </is>
      </c>
      <c r="C120" t="inlineStr">
        <is>
          <t>Apeiron Belt</t>
        </is>
      </c>
      <c r="D120" t="n">
        <v>0.00314662</v>
      </c>
      <c r="E120" t="n">
        <v>6429.9</v>
      </c>
      <c r="F120" s="3" t="n">
        <v>0.0004893730851179646</v>
      </c>
      <c r="G120" t="n">
        <v>2043431</v>
      </c>
      <c r="H120" s="3" t="n">
        <v>0.0003749999117163005</v>
      </c>
      <c r="I120" s="3" t="n">
        <v>0.0006276263743806804</v>
      </c>
      <c r="J120" t="n">
        <v>61.8</v>
      </c>
      <c r="K120">
        <f>IF(IFERROR(INDEX(Spots!$K$2:$K$96,MATCH(A120,Spots!$A$2:$A$96,0)),"")="","",IFERROR(INDEX(Spots!$K$2:$K$96,MATCH(A120,Spots!$A$2:$A$96,0)),""))</f>
        <v/>
      </c>
      <c r="L120" s="3">
        <f>IF(OR(K120="",F120=""),"",F120/1000*K120*100)</f>
        <v/>
      </c>
      <c r="M120">
        <f>IF(OR(L120="",L120=0),"",ROUND(100/L120,0))</f>
        <v/>
      </c>
      <c r="N120" t="inlineStr"/>
    </row>
    <row r="121">
      <c r="A121" t="n">
        <v>216</v>
      </c>
      <c r="B121" t="inlineStr">
        <is>
          <t>Aresion Temple</t>
        </is>
      </c>
      <c r="C121" t="inlineStr">
        <is>
          <t>Apeiron Necklace</t>
        </is>
      </c>
      <c r="D121" t="n">
        <v>0.00306619</v>
      </c>
      <c r="E121" t="n">
        <v>6429.9</v>
      </c>
      <c r="F121" s="3" t="n">
        <v>0.0004768643369259242</v>
      </c>
      <c r="G121" t="n">
        <v>2097032</v>
      </c>
      <c r="H121" s="3" t="n">
        <v>0.0003640623884838848</v>
      </c>
      <c r="I121" s="3" t="n">
        <v>0.0006135584629142776</v>
      </c>
      <c r="J121" t="n">
        <v>60.2</v>
      </c>
      <c r="K121">
        <f>IF(IFERROR(INDEX(Spots!$K$2:$K$96,MATCH(A121,Spots!$A$2:$A$96,0)),"")="","",IFERROR(INDEX(Spots!$K$2:$K$96,MATCH(A121,Spots!$A$2:$A$96,0)),""))</f>
        <v/>
      </c>
      <c r="L121" s="3">
        <f>IF(OR(K121="",F121=""),"",F121/1000*K121*100)</f>
        <v/>
      </c>
      <c r="M121">
        <f>IF(OR(L121="",L121=0),"",ROUND(100/L121,0))</f>
        <v/>
      </c>
      <c r="N121" t="inlineStr"/>
    </row>
    <row r="122">
      <c r="A122" t="n">
        <v>216</v>
      </c>
      <c r="B122" t="inlineStr">
        <is>
          <t>Aresion Temple</t>
        </is>
      </c>
      <c r="C122" t="inlineStr">
        <is>
          <t>Apeiron Ring</t>
        </is>
      </c>
      <c r="D122" t="n">
        <v>0.00305337</v>
      </c>
      <c r="E122" t="n">
        <v>6429.9</v>
      </c>
      <c r="F122" s="3" t="n">
        <v>0.0004748705267578035</v>
      </c>
      <c r="G122" t="n">
        <v>2105837</v>
      </c>
      <c r="H122" s="3" t="n">
        <v>0.0003623209203830006</v>
      </c>
      <c r="I122" s="3" t="n">
        <v>0.0006113142760496183</v>
      </c>
      <c r="J122" t="n">
        <v>60</v>
      </c>
      <c r="K122">
        <f>IF(IFERROR(INDEX(Spots!$K$2:$K$96,MATCH(A122,Spots!$A$2:$A$96,0)),"")="","",IFERROR(INDEX(Spots!$K$2:$K$96,MATCH(A122,Spots!$A$2:$A$96,0)),""))</f>
        <v/>
      </c>
      <c r="L122" s="3">
        <f>IF(OR(K122="",F122=""),"",F122/1000*K122*100)</f>
        <v/>
      </c>
      <c r="M122">
        <f>IF(OR(L122="",L122=0),"",ROUND(100/L122,0))</f>
        <v/>
      </c>
      <c r="N122" t="inlineStr"/>
    </row>
    <row r="123">
      <c r="A123" t="n">
        <v>216</v>
      </c>
      <c r="B123" t="inlineStr">
        <is>
          <t>Aresion Temple</t>
        </is>
      </c>
      <c r="C123" t="inlineStr">
        <is>
          <t>Apeiron Earring</t>
        </is>
      </c>
      <c r="D123" t="n">
        <v>0.002947</v>
      </c>
      <c r="E123" t="n">
        <v>6429.9</v>
      </c>
      <c r="F123" s="3" t="n">
        <v>0.0004583275012053065</v>
      </c>
      <c r="G123" t="n">
        <v>2181846</v>
      </c>
      <c r="H123" s="3" t="n">
        <v>0.0003478924403928283</v>
      </c>
      <c r="I123" s="3" t="n">
        <v>0.0005926734910296445</v>
      </c>
      <c r="J123" t="n">
        <v>57.9</v>
      </c>
      <c r="K123">
        <f>IF(IFERROR(INDEX(Spots!$K$2:$K$96,MATCH(A123,Spots!$A$2:$A$96,0)),"")="","",IFERROR(INDEX(Spots!$K$2:$K$96,MATCH(A123,Spots!$A$2:$A$96,0)),""))</f>
        <v/>
      </c>
      <c r="L123" s="3">
        <f>IF(OR(K123="",F123=""),"",F123/1000*K123*100)</f>
        <v/>
      </c>
      <c r="M123">
        <f>IF(OR(L123="",L123=0),"",ROUND(100/L123,0))</f>
        <v/>
      </c>
      <c r="N123" t="inlineStr"/>
    </row>
    <row r="124">
      <c r="A124" t="n">
        <v>216</v>
      </c>
      <c r="B124" t="inlineStr">
        <is>
          <t>Aresion Temple</t>
        </is>
      </c>
      <c r="C124" t="inlineStr">
        <is>
          <t>Silent Crystal of Origin</t>
        </is>
      </c>
      <c r="D124" t="n">
        <v>0.00209877</v>
      </c>
      <c r="E124" t="n">
        <v>6429.9</v>
      </c>
      <c r="F124" s="3" t="n">
        <v>0.0003264078757056875</v>
      </c>
      <c r="G124" t="n">
        <v>3063652</v>
      </c>
      <c r="H124" s="3" t="n">
        <v>0.0002344295818778744</v>
      </c>
      <c r="I124" s="3" t="n">
        <v>0.0004424724148720094</v>
      </c>
      <c r="J124" t="n">
        <v>41.2</v>
      </c>
      <c r="K124">
        <f>IF(IFERROR(INDEX(Spots!$K$2:$K$96,MATCH(A124,Spots!$A$2:$A$96,0)),"")="","",IFERROR(INDEX(Spots!$K$2:$K$96,MATCH(A124,Spots!$A$2:$A$96,0)),""))</f>
        <v/>
      </c>
      <c r="L124" s="3">
        <f>IF(OR(K124="",F124=""),"",F124/1000*K124*100)</f>
        <v/>
      </c>
      <c r="M124">
        <f>IF(OR(L124="",L124=0),"",ROUND(100/L124,0))</f>
        <v/>
      </c>
      <c r="N124" t="inlineStr"/>
    </row>
    <row r="125">
      <c r="A125" t="n">
        <v>216</v>
      </c>
      <c r="B125" t="inlineStr">
        <is>
          <t>Aresion Temple</t>
        </is>
      </c>
      <c r="C125" t="inlineStr">
        <is>
          <t>White Primordial Pigment - Edana</t>
        </is>
      </c>
      <c r="D125" t="n">
        <v>0.0002838</v>
      </c>
      <c r="E125" t="n">
        <v>6429.9</v>
      </c>
      <c r="F125" s="3" t="n">
        <v>4.413754490738582e-05</v>
      </c>
      <c r="G125" t="n">
        <v>22656448</v>
      </c>
      <c r="H125" s="3" t="n">
        <v>1.535548865613157e-05</v>
      </c>
      <c r="I125" s="3" t="n">
        <v>9.875534558194368e-05</v>
      </c>
      <c r="J125" t="n">
        <v>5.6</v>
      </c>
      <c r="K125">
        <f>IF(IFERROR(INDEX(Spots!$K$2:$K$96,MATCH(A125,Spots!$A$2:$A$96,0)),"")="","",IFERROR(INDEX(Spots!$K$2:$K$96,MATCH(A125,Spots!$A$2:$A$96,0)),""))</f>
        <v/>
      </c>
      <c r="L125" s="3">
        <f>IF(OR(K125="",F125=""),"",F125/1000*K125*100)</f>
        <v/>
      </c>
      <c r="M125">
        <f>IF(OR(L125="",L125=0),"",ROUND(100/L125,0))</f>
        <v/>
      </c>
      <c r="N125" t="inlineStr">
        <is>
          <t>low sample</t>
        </is>
      </c>
    </row>
    <row r="126">
      <c r="A126" t="n">
        <v>216</v>
      </c>
      <c r="B126" t="inlineStr">
        <is>
          <t>Aresion Temple</t>
        </is>
      </c>
      <c r="C126" t="inlineStr">
        <is>
          <t>White Primordial Pigment - Sovereign</t>
        </is>
      </c>
      <c r="D126" t="n">
        <v>0.00026566</v>
      </c>
      <c r="E126" t="n">
        <v>6429.9</v>
      </c>
      <c r="F126" s="3" t="n">
        <v>4.131635017651908e-05</v>
      </c>
      <c r="G126" t="n">
        <v>24203493</v>
      </c>
      <c r="H126" s="3" t="n">
        <v>1.373063085733161e-05</v>
      </c>
      <c r="I126" s="3" t="n">
        <v>9.482078088920112e-05</v>
      </c>
      <c r="J126" t="n">
        <v>5.2</v>
      </c>
      <c r="K126">
        <f>IF(IFERROR(INDEX(Spots!$K$2:$K$96,MATCH(A126,Spots!$A$2:$A$96,0)),"")="","",IFERROR(INDEX(Spots!$K$2:$K$96,MATCH(A126,Spots!$A$2:$A$96,0)),""))</f>
        <v/>
      </c>
      <c r="L126" s="3">
        <f>IF(OR(K126="",F126=""),"",F126/1000*K126*100)</f>
        <v/>
      </c>
      <c r="M126">
        <f>IF(OR(L126="",L126=0),"",ROUND(100/L126,0))</f>
        <v/>
      </c>
      <c r="N126" t="inlineStr">
        <is>
          <t>low sample</t>
        </is>
      </c>
    </row>
    <row r="127">
      <c r="A127" t="n">
        <v>216</v>
      </c>
      <c r="B127" t="inlineStr">
        <is>
          <t>Aresion Temple</t>
        </is>
      </c>
      <c r="C127" t="inlineStr">
        <is>
          <t>Crimson Primordial Pigment - Sovereign</t>
        </is>
      </c>
      <c r="D127" t="n">
        <v>0.00020883</v>
      </c>
      <c r="E127" t="n">
        <v>6429.9</v>
      </c>
      <c r="F127" s="3" t="n">
        <v>3.247795455605842e-05</v>
      </c>
      <c r="G127" t="n">
        <v>30790116</v>
      </c>
      <c r="H127" s="3" t="n">
        <v>8.931085759059484e-06</v>
      </c>
      <c r="I127" s="3" t="n">
        <v>8.225992232129341e-05</v>
      </c>
      <c r="J127" t="n">
        <v>4.1</v>
      </c>
      <c r="K127">
        <f>IF(IFERROR(INDEX(Spots!$K$2:$K$96,MATCH(A127,Spots!$A$2:$A$96,0)),"")="","",IFERROR(INDEX(Spots!$K$2:$K$96,MATCH(A127,Spots!$A$2:$A$96,0)),""))</f>
        <v/>
      </c>
      <c r="L127" s="3">
        <f>IF(OR(K127="",F127=""),"",F127/1000*K127*100)</f>
        <v/>
      </c>
      <c r="M127">
        <f>IF(OR(L127="",L127=0),"",ROUND(100/L127,0))</f>
        <v/>
      </c>
      <c r="N127" t="inlineStr">
        <is>
          <t>low sample</t>
        </is>
      </c>
    </row>
    <row r="128">
      <c r="A128" t="n">
        <v>216</v>
      </c>
      <c r="B128" t="inlineStr">
        <is>
          <t>Aresion Temple</t>
        </is>
      </c>
      <c r="C128" t="inlineStr">
        <is>
          <t>Violet Primordial Pigment - Sovereign</t>
        </is>
      </c>
      <c r="D128" t="n">
        <v>0.00018469</v>
      </c>
      <c r="E128" t="n">
        <v>6429.9</v>
      </c>
      <c r="F128" s="3" t="n">
        <v>2.872361934089177e-05</v>
      </c>
      <c r="G128" t="n">
        <v>34814554</v>
      </c>
      <c r="H128" s="3" t="n">
        <v>7.056761087740727e-06</v>
      </c>
      <c r="I128" s="3" t="n">
        <v>7.679516155107764e-05</v>
      </c>
      <c r="J128" t="n">
        <v>3.6</v>
      </c>
      <c r="K128">
        <f>IF(IFERROR(INDEX(Spots!$K$2:$K$96,MATCH(A128,Spots!$A$2:$A$96,0)),"")="","",IFERROR(INDEX(Spots!$K$2:$K$96,MATCH(A128,Spots!$A$2:$A$96,0)),""))</f>
        <v/>
      </c>
      <c r="L128" s="3">
        <f>IF(OR(K128="",F128=""),"",F128/1000*K128*100)</f>
        <v/>
      </c>
      <c r="M128">
        <f>IF(OR(L128="",L128=0),"",ROUND(100/L128,0))</f>
        <v/>
      </c>
      <c r="N128" t="inlineStr">
        <is>
          <t>low sample</t>
        </is>
      </c>
    </row>
    <row r="129">
      <c r="A129" t="n">
        <v>216</v>
      </c>
      <c r="B129" t="inlineStr">
        <is>
          <t>Aresion Temple</t>
        </is>
      </c>
      <c r="C129" t="inlineStr">
        <is>
          <t>Sunset Primordial Pigment - Edana</t>
        </is>
      </c>
      <c r="D129" t="n">
        <v>0.00013626</v>
      </c>
      <c r="E129" t="n">
        <v>6429.9</v>
      </c>
      <c r="F129" s="3" t="n">
        <v>2.119162039845099e-05</v>
      </c>
      <c r="G129" t="n">
        <v>47188463</v>
      </c>
      <c r="H129" s="3" t="n">
        <v>3.703312742076447e-06</v>
      </c>
      <c r="I129" s="3" t="n">
        <v>6.552512584199602e-05</v>
      </c>
      <c r="J129" t="n">
        <v>2.7</v>
      </c>
      <c r="K129">
        <f>IF(IFERROR(INDEX(Spots!$K$2:$K$96,MATCH(A129,Spots!$A$2:$A$96,0)),"")="","",IFERROR(INDEX(Spots!$K$2:$K$96,MATCH(A129,Spots!$A$2:$A$96,0)),""))</f>
        <v/>
      </c>
      <c r="L129" s="3">
        <f>IF(OR(K129="",F129=""),"",F129/1000*K129*100)</f>
        <v/>
      </c>
      <c r="M129">
        <f>IF(OR(L129="",L129=0),"",ROUND(100/L129,0))</f>
        <v/>
      </c>
      <c r="N129" t="inlineStr">
        <is>
          <t>low sample</t>
        </is>
      </c>
    </row>
    <row r="130">
      <c r="A130" t="n">
        <v>216</v>
      </c>
      <c r="B130" t="inlineStr">
        <is>
          <t>Aresion Temple</t>
        </is>
      </c>
      <c r="C130" t="inlineStr">
        <is>
          <t>Violet Primordial Pigment - Edana</t>
        </is>
      </c>
      <c r="D130" t="n">
        <v>8.966000000000001e-05</v>
      </c>
      <c r="E130" t="n">
        <v>6429.9</v>
      </c>
      <c r="F130" s="3" t="n">
        <v>1.394422930372168e-05</v>
      </c>
      <c r="G130" t="n">
        <v>71714254</v>
      </c>
      <c r="H130" s="3" t="n">
        <v>1.224893527512254e-06</v>
      </c>
      <c r="I130" s="3" t="n">
        <v>5.414776110336325e-05</v>
      </c>
      <c r="J130" t="n">
        <v>1.8</v>
      </c>
      <c r="K130">
        <f>IF(IFERROR(INDEX(Spots!$K$2:$K$96,MATCH(A130,Spots!$A$2:$A$96,0)),"")="","",IFERROR(INDEX(Spots!$K$2:$K$96,MATCH(A130,Spots!$A$2:$A$96,0)),""))</f>
        <v/>
      </c>
      <c r="L130" s="3">
        <f>IF(OR(K130="",F130=""),"",F130/1000*K130*100)</f>
        <v/>
      </c>
      <c r="M130">
        <f>IF(OR(L130="",L130=0),"",ROUND(100/L130,0))</f>
        <v/>
      </c>
      <c r="N130" t="inlineStr">
        <is>
          <t>low sample</t>
        </is>
      </c>
    </row>
    <row r="131">
      <c r="A131" t="n">
        <v>27</v>
      </c>
      <c r="B131" t="inlineStr">
        <is>
          <t>Ash Forest</t>
        </is>
      </c>
      <c r="C131" t="inlineStr">
        <is>
          <t>Black Stone</t>
        </is>
      </c>
      <c r="D131" t="n">
        <v>35.946</v>
      </c>
      <c r="E131" t="n">
        <v>9462.9</v>
      </c>
      <c r="F131" s="3" t="n">
        <v>3.798624100434328</v>
      </c>
      <c r="G131" t="n">
        <v>263</v>
      </c>
      <c r="H131" s="3" t="n">
        <v>3.745770451368517</v>
      </c>
      <c r="I131" s="3" t="n">
        <v>3.852037009125708</v>
      </c>
      <c r="J131" t="n">
        <v>19706.8</v>
      </c>
      <c r="K131">
        <f>IF(IFERROR(INDEX(Spots!$K$2:$K$96,MATCH(A131,Spots!$A$2:$A$96,0)),"")="","",IFERROR(INDEX(Spots!$K$2:$K$96,MATCH(A131,Spots!$A$2:$A$96,0)),""))</f>
        <v/>
      </c>
      <c r="L131" s="3">
        <f>IF(OR(K131="",F131=""),"",F131/1000*K131*100)</f>
        <v/>
      </c>
      <c r="M131">
        <f>IF(OR(L131="",L131=0),"",ROUND(100/L131,0))</f>
        <v/>
      </c>
      <c r="N131" t="inlineStr"/>
    </row>
    <row r="132">
      <c r="A132" t="n">
        <v>27</v>
      </c>
      <c r="B132" t="inlineStr">
        <is>
          <t>Ash Forest</t>
        </is>
      </c>
      <c r="C132" t="inlineStr">
        <is>
          <t>Caphras Stone</t>
        </is>
      </c>
      <c r="D132" t="n">
        <v>19.388</v>
      </c>
      <c r="E132" t="n">
        <v>9462.9</v>
      </c>
      <c r="F132" s="3" t="n">
        <v>2.048843377822867</v>
      </c>
      <c r="G132" t="n">
        <v>488</v>
      </c>
      <c r="H132" s="3" t="n">
        <v>2.01007551782106</v>
      </c>
      <c r="I132" s="3" t="n">
        <v>2.088170982296171</v>
      </c>
      <c r="J132" t="n">
        <v>10629.1</v>
      </c>
      <c r="K132">
        <f>IF(IFERROR(INDEX(Spots!$K$2:$K$96,MATCH(A132,Spots!$A$2:$A$96,0)),"")="","",IFERROR(INDEX(Spots!$K$2:$K$96,MATCH(A132,Spots!$A$2:$A$96,0)),""))</f>
        <v/>
      </c>
      <c r="L132" s="3">
        <f>IF(OR(K132="",F132=""),"",F132/1000*K132*100)</f>
        <v/>
      </c>
      <c r="M132">
        <f>IF(OR(L132="",L132=0),"",ROUND(100/L132,0))</f>
        <v/>
      </c>
      <c r="N132" t="inlineStr"/>
    </row>
    <row r="133">
      <c r="A133" t="n">
        <v>27</v>
      </c>
      <c r="B133" t="inlineStr">
        <is>
          <t>Ash Forest</t>
        </is>
      </c>
      <c r="C133" t="inlineStr">
        <is>
          <t>Trace of Nature</t>
        </is>
      </c>
      <c r="D133" t="n">
        <v>15.835</v>
      </c>
      <c r="E133" t="n">
        <v>9462.9</v>
      </c>
      <c r="F133" s="3" t="n">
        <v>1.673377083135191</v>
      </c>
      <c r="G133" t="n">
        <v>598</v>
      </c>
      <c r="H133" s="3" t="n">
        <v>1.638358730374642</v>
      </c>
      <c r="I133" s="3" t="n">
        <v>1.708955374664419</v>
      </c>
      <c r="J133" t="n">
        <v>8681.299999999999</v>
      </c>
      <c r="K133">
        <f>IF(IFERROR(INDEX(Spots!$K$2:$K$96,MATCH(A133,Spots!$A$2:$A$96,0)),"")="","",IFERROR(INDEX(Spots!$K$2:$K$96,MATCH(A133,Spots!$A$2:$A$96,0)),""))</f>
        <v/>
      </c>
      <c r="L133" s="3">
        <f>IF(OR(K133="",F133=""),"",F133/1000*K133*100)</f>
        <v/>
      </c>
      <c r="M133">
        <f>IF(OR(L133="",L133=0),"",ROUND(100/L133,0))</f>
        <v/>
      </c>
      <c r="N133" t="inlineStr"/>
    </row>
    <row r="134">
      <c r="A134" t="n">
        <v>27</v>
      </c>
      <c r="B134" t="inlineStr">
        <is>
          <t>Ash Forest</t>
        </is>
      </c>
      <c r="C134" t="inlineStr">
        <is>
          <t>Ancient Spirit Dust</t>
        </is>
      </c>
      <c r="D134" t="n">
        <v>3.923982</v>
      </c>
      <c r="E134" t="n">
        <v>9462.9</v>
      </c>
      <c r="F134" s="3" t="n">
        <v>0.4146701328345433</v>
      </c>
      <c r="G134" t="n">
        <v>2412</v>
      </c>
      <c r="H134" s="3" t="n">
        <v>0.397330186804033</v>
      </c>
      <c r="I134" s="3" t="n">
        <v>0.4325720485173224</v>
      </c>
      <c r="J134" t="n">
        <v>2151.3</v>
      </c>
      <c r="K134">
        <f>IF(IFERROR(INDEX(Spots!$K$2:$K$96,MATCH(A134,Spots!$A$2:$A$96,0)),"")="","",IFERROR(INDEX(Spots!$K$2:$K$96,MATCH(A134,Spots!$A$2:$A$96,0)),""))</f>
        <v/>
      </c>
      <c r="L134" s="3">
        <f>IF(OR(K134="",F134=""),"",F134/1000*K134*100)</f>
        <v/>
      </c>
      <c r="M134">
        <f>IF(OR(L134="",L134=0),"",ROUND(100/L134,0))</f>
        <v/>
      </c>
      <c r="N134" t="inlineStr"/>
    </row>
    <row r="135">
      <c r="A135" t="n">
        <v>27</v>
      </c>
      <c r="B135" t="inlineStr">
        <is>
          <t>Ash Forest</t>
        </is>
      </c>
      <c r="C135" t="inlineStr">
        <is>
          <t>Manshaum Voodoo Doll</t>
        </is>
      </c>
      <c r="D135" t="n">
        <v>2.128001</v>
      </c>
      <c r="E135" t="n">
        <v>9462.9</v>
      </c>
      <c r="F135" s="3" t="n">
        <v>0.2248783142588424</v>
      </c>
      <c r="G135" t="n">
        <v>4447</v>
      </c>
      <c r="H135" s="3" t="n">
        <v>0.2121574437002464</v>
      </c>
      <c r="I135" s="3" t="n">
        <v>0.2381625958483703</v>
      </c>
      <c r="J135" t="n">
        <v>1166.6</v>
      </c>
      <c r="K135">
        <f>IF(IFERROR(INDEX(Spots!$K$2:$K$96,MATCH(A135,Spots!$A$2:$A$96,0)),"")="","",IFERROR(INDEX(Spots!$K$2:$K$96,MATCH(A135,Spots!$A$2:$A$96,0)),""))</f>
        <v/>
      </c>
      <c r="L135" s="3">
        <f>IF(OR(K135="",F135=""),"",F135/1000*K135*100)</f>
        <v/>
      </c>
      <c r="M135">
        <f>IF(OR(L135="",L135=0),"",ROUND(100/L135,0))</f>
        <v/>
      </c>
      <c r="N135" t="inlineStr"/>
    </row>
    <row r="136">
      <c r="A136" t="n">
        <v>27</v>
      </c>
      <c r="B136" t="inlineStr">
        <is>
          <t>Ash Forest</t>
        </is>
      </c>
      <c r="C136" t="inlineStr">
        <is>
          <t>Quturan's Black Leaf</t>
        </is>
      </c>
      <c r="D136" t="n">
        <v>0.75970224</v>
      </c>
      <c r="E136" t="n">
        <v>9462.9</v>
      </c>
      <c r="F136" s="3" t="n">
        <v>0.08028217988143169</v>
      </c>
      <c r="G136" t="n">
        <v>12456</v>
      </c>
      <c r="H136" s="3" t="n">
        <v>0.07275589837292459</v>
      </c>
      <c r="I136" s="3" t="n">
        <v>0.08837553255081528</v>
      </c>
      <c r="J136" t="n">
        <v>416.5</v>
      </c>
      <c r="K136">
        <f>IF(IFERROR(INDEX(Spots!$K$2:$K$96,MATCH(A136,Spots!$A$2:$A$96,0)),"")="","",IFERROR(INDEX(Spots!$K$2:$K$96,MATCH(A136,Spots!$A$2:$A$96,0)),""))</f>
        <v/>
      </c>
      <c r="L136" s="3">
        <f>IF(OR(K136="",F136=""),"",F136/1000*K136*100)</f>
        <v/>
      </c>
      <c r="M136">
        <f>IF(OR(L136="",L136=0),"",ROUND(100/L136,0))</f>
        <v/>
      </c>
      <c r="N136" t="inlineStr"/>
    </row>
    <row r="137">
      <c r="A137" t="n">
        <v>27</v>
      </c>
      <c r="B137" t="inlineStr">
        <is>
          <t>Ash Forest</t>
        </is>
      </c>
      <c r="C137" t="inlineStr">
        <is>
          <t>Deboreka Necklace</t>
        </is>
      </c>
      <c r="D137" t="n">
        <v>0.34273285</v>
      </c>
      <c r="E137" t="n">
        <v>9462.9</v>
      </c>
      <c r="F137" s="3" t="n">
        <v>0.03621858521172156</v>
      </c>
      <c r="G137" t="n">
        <v>27610</v>
      </c>
      <c r="H137" s="3" t="n">
        <v>0.03122448411554776</v>
      </c>
      <c r="I137" s="3" t="n">
        <v>0.0417841553714218</v>
      </c>
      <c r="J137" t="n">
        <v>187.9</v>
      </c>
      <c r="K137">
        <f>IF(IFERROR(INDEX(Spots!$K$2:$K$96,MATCH(A137,Spots!$A$2:$A$96,0)),"")="","",IFERROR(INDEX(Spots!$K$2:$K$96,MATCH(A137,Spots!$A$2:$A$96,0)),""))</f>
        <v/>
      </c>
      <c r="L137" s="3">
        <f>IF(OR(K137="",F137=""),"",F137/1000*K137*100)</f>
        <v/>
      </c>
      <c r="M137">
        <f>IF(OR(L137="",L137=0),"",ROUND(100/L137,0))</f>
        <v/>
      </c>
      <c r="N137" t="inlineStr"/>
    </row>
    <row r="138">
      <c r="A138" t="n">
        <v>27</v>
      </c>
      <c r="B138" t="inlineStr">
        <is>
          <t>Ash Forest</t>
        </is>
      </c>
      <c r="C138" t="inlineStr">
        <is>
          <t>Any Artifact</t>
        </is>
      </c>
      <c r="D138" t="n">
        <v>0.27597142</v>
      </c>
      <c r="E138" t="n">
        <v>9462.9</v>
      </c>
      <c r="F138" s="3" t="n">
        <v>0.02916351435606421</v>
      </c>
      <c r="G138" t="n">
        <v>34289</v>
      </c>
      <c r="H138" s="3" t="n">
        <v>0.02470132185910311</v>
      </c>
      <c r="I138" s="3" t="n">
        <v>0.03419869589356475</v>
      </c>
      <c r="J138" t="n">
        <v>151.3</v>
      </c>
      <c r="K138">
        <f>IF(IFERROR(INDEX(Spots!$K$2:$K$96,MATCH(A138,Spots!$A$2:$A$96,0)),"")="","",IFERROR(INDEX(Spots!$K$2:$K$96,MATCH(A138,Spots!$A$2:$A$96,0)),""))</f>
        <v/>
      </c>
      <c r="L138" s="3">
        <f>IF(OR(K138="",F138=""),"",F138/1000*K138*100)</f>
        <v/>
      </c>
      <c r="M138">
        <f>IF(OR(L138="",L138=0),"",ROUND(100/L138,0))</f>
        <v/>
      </c>
      <c r="N138" t="inlineStr"/>
    </row>
    <row r="139">
      <c r="A139" t="n">
        <v>27</v>
      </c>
      <c r="B139" t="inlineStr">
        <is>
          <t>Ash Forest</t>
        </is>
      </c>
      <c r="C139" t="inlineStr">
        <is>
          <t>Imperfect Lightstone of Fire</t>
        </is>
      </c>
      <c r="D139" t="n">
        <v>0.16259965</v>
      </c>
      <c r="E139" t="n">
        <v>9462.9</v>
      </c>
      <c r="F139" s="3" t="n">
        <v>0.01718285620687105</v>
      </c>
      <c r="G139" t="n">
        <v>58198</v>
      </c>
      <c r="H139" s="3" t="n">
        <v>0.01380135378565187</v>
      </c>
      <c r="I139" s="3" t="n">
        <v>0.02114179144459617</v>
      </c>
      <c r="J139" t="n">
        <v>89.09999999999999</v>
      </c>
      <c r="K139">
        <f>IF(IFERROR(INDEX(Spots!$K$2:$K$96,MATCH(A139,Spots!$A$2:$A$96,0)),"")="","",IFERROR(INDEX(Spots!$K$2:$K$96,MATCH(A139,Spots!$A$2:$A$96,0)),""))</f>
        <v/>
      </c>
      <c r="L139" s="3">
        <f>IF(OR(K139="",F139=""),"",F139/1000*K139*100)</f>
        <v/>
      </c>
      <c r="M139">
        <f>IF(OR(L139="",L139=0),"",ROUND(100/L139,0))</f>
        <v/>
      </c>
      <c r="N139" t="inlineStr"/>
    </row>
    <row r="140">
      <c r="A140" t="n">
        <v>27</v>
      </c>
      <c r="B140" t="inlineStr">
        <is>
          <t>Ash Forest</t>
        </is>
      </c>
      <c r="C140" t="inlineStr">
        <is>
          <t>Mass of Pure Magic</t>
        </is>
      </c>
      <c r="D140" t="n">
        <v>0.10369172</v>
      </c>
      <c r="E140" t="n">
        <v>9462.9</v>
      </c>
      <c r="F140" s="3" t="n">
        <v>0.01095771063838781</v>
      </c>
      <c r="G140" t="n">
        <v>91260</v>
      </c>
      <c r="H140" s="3" t="n">
        <v>0.008295395767953014</v>
      </c>
      <c r="I140" s="3" t="n">
        <v>0.01420221338332123</v>
      </c>
      <c r="J140" t="n">
        <v>56.8</v>
      </c>
      <c r="K140">
        <f>IF(IFERROR(INDEX(Spots!$K$2:$K$96,MATCH(A140,Spots!$A$2:$A$96,0)),"")="","",IFERROR(INDEX(Spots!$K$2:$K$96,MATCH(A140,Spots!$A$2:$A$96,0)),""))</f>
        <v/>
      </c>
      <c r="L140" s="3">
        <f>IF(OR(K140="",F140=""),"",F140/1000*K140*100)</f>
        <v/>
      </c>
      <c r="M140">
        <f>IF(OR(L140="",L140=0),"",ROUND(100/L140,0))</f>
        <v/>
      </c>
      <c r="N140" t="inlineStr"/>
    </row>
    <row r="141">
      <c r="A141" t="n">
        <v>27</v>
      </c>
      <c r="B141" t="inlineStr">
        <is>
          <t>Ash Forest</t>
        </is>
      </c>
      <c r="C141" t="inlineStr">
        <is>
          <t>Ash Forest Paint</t>
        </is>
      </c>
      <c r="D141" t="n">
        <v>0.07867615</v>
      </c>
      <c r="E141" t="n">
        <v>9462.9</v>
      </c>
      <c r="F141" s="3" t="n">
        <v>0.008314169017954329</v>
      </c>
      <c r="G141" t="n">
        <v>120277</v>
      </c>
      <c r="H141" s="3" t="n">
        <v>0.006019609497660564</v>
      </c>
      <c r="I141" s="3" t="n">
        <v>0.01119436421846169</v>
      </c>
      <c r="J141" t="n">
        <v>43.1</v>
      </c>
      <c r="K141">
        <f>IF(IFERROR(INDEX(Spots!$K$2:$K$96,MATCH(A141,Spots!$A$2:$A$96,0)),"")="","",IFERROR(INDEX(Spots!$K$2:$K$96,MATCH(A141,Spots!$A$2:$A$96,0)),""))</f>
        <v/>
      </c>
      <c r="L141" s="3">
        <f>IF(OR(K141="",F141=""),"",F141/1000*K141*100)</f>
        <v/>
      </c>
      <c r="M141">
        <f>IF(OR(L141="",L141=0),"",ROUND(100/L141,0))</f>
        <v/>
      </c>
      <c r="N141" t="inlineStr"/>
    </row>
    <row r="142">
      <c r="A142" t="n">
        <v>27</v>
      </c>
      <c r="B142" t="inlineStr">
        <is>
          <t>Ash Forest</t>
        </is>
      </c>
      <c r="C142" t="inlineStr">
        <is>
          <t>Imperfect Lightstone of Earth</t>
        </is>
      </c>
      <c r="D142" t="n">
        <v>0.03050939</v>
      </c>
      <c r="E142" t="n">
        <v>9462.9</v>
      </c>
      <c r="F142" s="3" t="n">
        <v>0.003224105718120238</v>
      </c>
      <c r="G142" t="n">
        <v>310164</v>
      </c>
      <c r="H142" s="3" t="n">
        <v>0.001867654975731365</v>
      </c>
      <c r="I142" s="3" t="n">
        <v>0.005181837426508043</v>
      </c>
      <c r="J142" t="n">
        <v>16.7</v>
      </c>
      <c r="K142">
        <f>IF(IFERROR(INDEX(Spots!$K$2:$K$96,MATCH(A142,Spots!$A$2:$A$96,0)),"")="","",IFERROR(INDEX(Spots!$K$2:$K$96,MATCH(A142,Spots!$A$2:$A$96,0)),""))</f>
        <v/>
      </c>
      <c r="L142" s="3">
        <f>IF(OR(K142="",F142=""),"",F142/1000*K142*100)</f>
        <v/>
      </c>
      <c r="M142">
        <f>IF(OR(L142="",L142=0),"",ROUND(100/L142,0))</f>
        <v/>
      </c>
      <c r="N142" t="inlineStr">
        <is>
          <t>low sample</t>
        </is>
      </c>
    </row>
    <row r="143">
      <c r="A143" t="n">
        <v>27</v>
      </c>
      <c r="B143" t="inlineStr">
        <is>
          <t>Ash Forest</t>
        </is>
      </c>
      <c r="C143" t="inlineStr">
        <is>
          <t>Imperfect Lightstone of Wind</t>
        </is>
      </c>
      <c r="D143" t="n">
        <v>0.0203868</v>
      </c>
      <c r="E143" t="n">
        <v>9462.9</v>
      </c>
      <c r="F143" s="3" t="n">
        <v>0.002154392416701011</v>
      </c>
      <c r="G143" t="n">
        <v>464168</v>
      </c>
      <c r="H143" s="3" t="n">
        <v>0.001081004846663743</v>
      </c>
      <c r="I143" s="3" t="n">
        <v>0.003837868572876775</v>
      </c>
      <c r="J143" t="n">
        <v>11.2</v>
      </c>
      <c r="K143">
        <f>IF(IFERROR(INDEX(Spots!$K$2:$K$96,MATCH(A143,Spots!$A$2:$A$96,0)),"")="","",IFERROR(INDEX(Spots!$K$2:$K$96,MATCH(A143,Spots!$A$2:$A$96,0)),""))</f>
        <v/>
      </c>
      <c r="L143" s="3">
        <f>IF(OR(K143="",F143=""),"",F143/1000*K143*100)</f>
        <v/>
      </c>
      <c r="M143">
        <f>IF(OR(L143="",L143=0),"",ROUND(100/L143,0))</f>
        <v/>
      </c>
      <c r="N143" t="inlineStr">
        <is>
          <t>low sample</t>
        </is>
      </c>
    </row>
    <row r="144">
      <c r="A144" t="n">
        <v>27</v>
      </c>
      <c r="B144" t="inlineStr">
        <is>
          <t>Ash Forest</t>
        </is>
      </c>
      <c r="C144" t="inlineStr">
        <is>
          <t>Quturan's Left Lung</t>
        </is>
      </c>
      <c r="D144" t="n">
        <v>0.00265562</v>
      </c>
      <c r="E144" t="n">
        <v>9462.9</v>
      </c>
      <c r="F144" s="3" t="n">
        <v>0.0002806349005061873</v>
      </c>
      <c r="G144" t="n">
        <v>3563349</v>
      </c>
      <c r="H144" s="3" t="n">
        <v>1.567030806153977e-05</v>
      </c>
      <c r="I144" s="3" t="n">
        <v>0.001221675161983853</v>
      </c>
      <c r="J144" t="n">
        <v>1.5</v>
      </c>
      <c r="K144">
        <f>IF(IFERROR(INDEX(Spots!$K$2:$K$96,MATCH(A144,Spots!$A$2:$A$96,0)),"")="","",IFERROR(INDEX(Spots!$K$2:$K$96,MATCH(A144,Spots!$A$2:$A$96,0)),""))</f>
        <v/>
      </c>
      <c r="L144" s="3">
        <f>IF(OR(K144="",F144=""),"",F144/1000*K144*100)</f>
        <v/>
      </c>
      <c r="M144">
        <f>IF(OR(L144="",L144=0),"",ROUND(100/L144,0))</f>
        <v/>
      </c>
      <c r="N144" t="inlineStr">
        <is>
          <t>low sample</t>
        </is>
      </c>
    </row>
    <row r="145">
      <c r="A145" t="n">
        <v>27</v>
      </c>
      <c r="B145" t="inlineStr">
        <is>
          <t>Ash Forest</t>
        </is>
      </c>
      <c r="C145" t="inlineStr">
        <is>
          <t>Al Yurad's Ring Piece</t>
        </is>
      </c>
      <c r="D145" t="n">
        <v>0.00157674</v>
      </c>
      <c r="E145" t="n">
        <v>9462.9</v>
      </c>
      <c r="F145" s="3" t="n">
        <v>0.0001666233395682085</v>
      </c>
      <c r="G145" t="n">
        <v>6001560</v>
      </c>
      <c r="H145" s="3" t="n">
        <v>8.008157233298762e-07</v>
      </c>
      <c r="I145" s="3" t="n">
        <v>0.001026584046541712</v>
      </c>
      <c r="J145" t="n">
        <v>0.9</v>
      </c>
      <c r="K145">
        <f>IF(IFERROR(INDEX(Spots!$K$2:$K$96,MATCH(A145,Spots!$A$2:$A$96,0)),"")="","",IFERROR(INDEX(Spots!$K$2:$K$96,MATCH(A145,Spots!$A$2:$A$96,0)),""))</f>
        <v/>
      </c>
      <c r="L145" s="3">
        <f>IF(OR(K145="",F145=""),"",F145/1000*K145*100)</f>
        <v/>
      </c>
      <c r="M145">
        <f>IF(OR(L145="",L145=0),"",ROUND(100/L145,0))</f>
        <v/>
      </c>
      <c r="N145" t="inlineStr">
        <is>
          <t>low sample</t>
        </is>
      </c>
    </row>
    <row r="146">
      <c r="A146" t="n">
        <v>84</v>
      </c>
      <c r="B146" t="inlineStr">
        <is>
          <t>Bashim Base</t>
        </is>
      </c>
      <c r="C146" t="inlineStr">
        <is>
          <t>Black Stone</t>
        </is>
      </c>
      <c r="D146" t="n">
        <v>18.085</v>
      </c>
      <c r="E146" t="n">
        <v>5383.6</v>
      </c>
      <c r="F146" s="3" t="n">
        <v>3.359276320677613</v>
      </c>
      <c r="G146" t="n">
        <v>298</v>
      </c>
      <c r="H146" s="3" t="n">
        <v>2.94533284373301</v>
      </c>
      <c r="I146" s="3" t="n">
        <v>3.815096206870379</v>
      </c>
      <c r="J146" t="n">
        <v>237.2</v>
      </c>
      <c r="K146">
        <f>IF(IFERROR(INDEX(Spots!$K$2:$K$96,MATCH(A146,Spots!$A$2:$A$96,0)),"")="","",IFERROR(INDEX(Spots!$K$2:$K$96,MATCH(A146,Spots!$A$2:$A$96,0)),""))</f>
        <v/>
      </c>
      <c r="L146" s="3">
        <f>IF(OR(K146="",F146=""),"",F146/1000*K146*100)</f>
        <v/>
      </c>
      <c r="M146">
        <f>IF(OR(L146="",L146=0),"",ROUND(100/L146,0))</f>
        <v/>
      </c>
      <c r="N146" t="inlineStr">
        <is>
          <t>low sample</t>
        </is>
      </c>
    </row>
    <row r="147">
      <c r="A147" t="n">
        <v>84</v>
      </c>
      <c r="B147" t="inlineStr">
        <is>
          <t>Bashim Base</t>
        </is>
      </c>
      <c r="C147" t="inlineStr">
        <is>
          <t>Caphras Stone</t>
        </is>
      </c>
      <c r="D147" t="n">
        <v>6.860698</v>
      </c>
      <c r="E147" t="n">
        <v>5383.6</v>
      </c>
      <c r="F147" s="3" t="n">
        <v>1.274369938331228</v>
      </c>
      <c r="G147" t="n">
        <v>785</v>
      </c>
      <c r="H147" s="3" t="n">
        <v>1.024697542578306</v>
      </c>
      <c r="I147" s="3" t="n">
        <v>1.566458117178565</v>
      </c>
      <c r="J147" t="n">
        <v>90</v>
      </c>
      <c r="K147">
        <f>IF(IFERROR(INDEX(Spots!$K$2:$K$96,MATCH(A147,Spots!$A$2:$A$96,0)),"")="","",IFERROR(INDEX(Spots!$K$2:$K$96,MATCH(A147,Spots!$A$2:$A$96,0)),""))</f>
        <v/>
      </c>
      <c r="L147" s="3">
        <f>IF(OR(K147="",F147=""),"",F147/1000*K147*100)</f>
        <v/>
      </c>
      <c r="M147">
        <f>IF(OR(L147="",L147=0),"",ROUND(100/L147,0))</f>
        <v/>
      </c>
      <c r="N147" t="inlineStr">
        <is>
          <t>low sample</t>
        </is>
      </c>
    </row>
    <row r="148">
      <c r="A148" t="n">
        <v>84</v>
      </c>
      <c r="B148" t="inlineStr">
        <is>
          <t>Bashim Base</t>
        </is>
      </c>
      <c r="C148" t="inlineStr">
        <is>
          <t>Trace of Nature</t>
        </is>
      </c>
      <c r="D148" t="n">
        <v>5.837253</v>
      </c>
      <c r="E148" t="n">
        <v>5383.6</v>
      </c>
      <c r="F148" s="3" t="n">
        <v>1.084265732966788</v>
      </c>
      <c r="G148" t="n">
        <v>922</v>
      </c>
      <c r="H148" s="3" t="n">
        <v>0.8550418526621931</v>
      </c>
      <c r="I148" s="3" t="n">
        <v>1.356021974231585</v>
      </c>
      <c r="J148" t="n">
        <v>76.59999999999999</v>
      </c>
      <c r="K148">
        <f>IF(IFERROR(INDEX(Spots!$K$2:$K$96,MATCH(A148,Spots!$A$2:$A$96,0)),"")="","",IFERROR(INDEX(Spots!$K$2:$K$96,MATCH(A148,Spots!$A$2:$A$96,0)),""))</f>
        <v/>
      </c>
      <c r="L148" s="3">
        <f>IF(OR(K148="",F148=""),"",F148/1000*K148*100)</f>
        <v/>
      </c>
      <c r="M148">
        <f>IF(OR(L148="",L148=0),"",ROUND(100/L148,0))</f>
        <v/>
      </c>
      <c r="N148" t="inlineStr">
        <is>
          <t>low sample</t>
        </is>
      </c>
    </row>
    <row r="149">
      <c r="A149" t="n">
        <v>84</v>
      </c>
      <c r="B149" t="inlineStr">
        <is>
          <t>Bashim Base</t>
        </is>
      </c>
      <c r="C149" t="inlineStr">
        <is>
          <t>Scroll Written in Ancient Language</t>
        </is>
      </c>
      <c r="D149" t="n">
        <v>5.309991</v>
      </c>
      <c r="E149" t="n">
        <v>5383.6</v>
      </c>
      <c r="F149" s="3" t="n">
        <v>0.9863271788394382</v>
      </c>
      <c r="G149" t="n">
        <v>1014</v>
      </c>
      <c r="H149" s="3" t="n">
        <v>0.7683420549053315</v>
      </c>
      <c r="I149" s="3" t="n">
        <v>1.246917193592362</v>
      </c>
      <c r="J149" t="n">
        <v>69.59999999999999</v>
      </c>
      <c r="K149">
        <f>IF(IFERROR(INDEX(Spots!$K$2:$K$96,MATCH(A149,Spots!$A$2:$A$96,0)),"")="","",IFERROR(INDEX(Spots!$K$2:$K$96,MATCH(A149,Spots!$A$2:$A$96,0)),""))</f>
        <v/>
      </c>
      <c r="L149" s="3">
        <f>IF(OR(K149="",F149=""),"",F149/1000*K149*100)</f>
        <v/>
      </c>
      <c r="M149">
        <f>IF(OR(L149="",L149=0),"",ROUND(100/L149,0))</f>
        <v/>
      </c>
      <c r="N149" t="inlineStr">
        <is>
          <t>low sample</t>
        </is>
      </c>
    </row>
    <row r="150">
      <c r="A150" t="n">
        <v>84</v>
      </c>
      <c r="B150" t="inlineStr">
        <is>
          <t>Bashim Base</t>
        </is>
      </c>
      <c r="C150" t="inlineStr">
        <is>
          <t>Sealed Black Magic Crystal</t>
        </is>
      </c>
      <c r="D150" t="n">
        <v>1.867784</v>
      </c>
      <c r="E150" t="n">
        <v>5383.6</v>
      </c>
      <c r="F150" s="3" t="n">
        <v>0.346939594323501</v>
      </c>
      <c r="G150" t="n">
        <v>2882</v>
      </c>
      <c r="H150" s="3" t="n">
        <v>0.2233541937634375</v>
      </c>
      <c r="I150" s="3" t="n">
        <v>0.5141786939224122</v>
      </c>
      <c r="J150" t="n">
        <v>24.5</v>
      </c>
      <c r="K150">
        <f>IF(IFERROR(INDEX(Spots!$K$2:$K$96,MATCH(A150,Spots!$A$2:$A$96,0)),"")="","",IFERROR(INDEX(Spots!$K$2:$K$96,MATCH(A150,Spots!$A$2:$A$96,0)),""))</f>
        <v/>
      </c>
      <c r="L150" s="3">
        <f>IF(OR(K150="",F150=""),"",F150/1000*K150*100)</f>
        <v/>
      </c>
      <c r="M150">
        <f>IF(OR(L150="",L150=0),"",ROUND(100/L150,0))</f>
        <v/>
      </c>
      <c r="N150" t="inlineStr">
        <is>
          <t>low sample</t>
        </is>
      </c>
    </row>
    <row r="151">
      <c r="A151" t="n">
        <v>84</v>
      </c>
      <c r="B151" t="inlineStr">
        <is>
          <t>Bashim Base</t>
        </is>
      </c>
      <c r="C151" t="inlineStr">
        <is>
          <t>Ancient Spirit Dust</t>
        </is>
      </c>
      <c r="D151" t="n">
        <v>1.638249</v>
      </c>
      <c r="E151" t="n">
        <v>5383.6</v>
      </c>
      <c r="F151" s="3" t="n">
        <v>0.3043036258265844</v>
      </c>
      <c r="G151" t="n">
        <v>3286</v>
      </c>
      <c r="H151" s="3" t="n">
        <v>0.1894577272836269</v>
      </c>
      <c r="I151" s="3" t="n">
        <v>0.4629726654208563</v>
      </c>
      <c r="J151" t="n">
        <v>21.5</v>
      </c>
      <c r="K151">
        <f>IF(IFERROR(INDEX(Spots!$K$2:$K$96,MATCH(A151,Spots!$A$2:$A$96,0)),"")="","",IFERROR(INDEX(Spots!$K$2:$K$96,MATCH(A151,Spots!$A$2:$A$96,0)),""))</f>
        <v/>
      </c>
      <c r="L151" s="3">
        <f>IF(OR(K151="",F151=""),"",F151/1000*K151*100)</f>
        <v/>
      </c>
      <c r="M151">
        <f>IF(OR(L151="",L151=0),"",ROUND(100/L151,0))</f>
        <v/>
      </c>
      <c r="N151" t="inlineStr">
        <is>
          <t>low sample</t>
        </is>
      </c>
    </row>
    <row r="152">
      <c r="A152" t="n">
        <v>84</v>
      </c>
      <c r="B152" t="inlineStr">
        <is>
          <t>Bashim Base</t>
        </is>
      </c>
      <c r="C152" t="inlineStr">
        <is>
          <t>Rosar Sub-weapon Box</t>
        </is>
      </c>
      <c r="D152" t="n">
        <v>1.607109</v>
      </c>
      <c r="E152" t="n">
        <v>5383.6</v>
      </c>
      <c r="F152" s="3" t="n">
        <v>0.2985193922282487</v>
      </c>
      <c r="G152" t="n">
        <v>3350</v>
      </c>
      <c r="H152" s="3" t="n">
        <v>0.1849053712123614</v>
      </c>
      <c r="I152" s="3" t="n">
        <v>0.4559821643361108</v>
      </c>
      <c r="J152" t="n">
        <v>21.1</v>
      </c>
      <c r="K152">
        <f>IF(IFERROR(INDEX(Spots!$K$2:$K$96,MATCH(A152,Spots!$A$2:$A$96,0)),"")="","",IFERROR(INDEX(Spots!$K$2:$K$96,MATCH(A152,Spots!$A$2:$A$96,0)),""))</f>
        <v/>
      </c>
      <c r="L152" s="3">
        <f>IF(OR(K152="",F152=""),"",F152/1000*K152*100)</f>
        <v/>
      </c>
      <c r="M152">
        <f>IF(OR(L152="",L152=0),"",ROUND(100/L152,0))</f>
        <v/>
      </c>
      <c r="N152" t="inlineStr">
        <is>
          <t>low sample</t>
        </is>
      </c>
    </row>
    <row r="153">
      <c r="A153" t="n">
        <v>84</v>
      </c>
      <c r="B153" t="inlineStr">
        <is>
          <t>Bashim Base</t>
        </is>
      </c>
      <c r="C153" t="inlineStr">
        <is>
          <t>Yona's Fragment</t>
        </is>
      </c>
      <c r="D153" t="n">
        <v>1.575652</v>
      </c>
      <c r="E153" t="n">
        <v>5383.6</v>
      </c>
      <c r="F153" s="3" t="n">
        <v>0.2926762760977785</v>
      </c>
      <c r="G153" t="n">
        <v>3417</v>
      </c>
      <c r="H153" s="3" t="n">
        <v>0.1803188993160159</v>
      </c>
      <c r="I153" s="3" t="n">
        <v>0.4489090040177727</v>
      </c>
      <c r="J153" t="n">
        <v>20.7</v>
      </c>
      <c r="K153">
        <f>IF(IFERROR(INDEX(Spots!$K$2:$K$96,MATCH(A153,Spots!$A$2:$A$96,0)),"")="","",IFERROR(INDEX(Spots!$K$2:$K$96,MATCH(A153,Spots!$A$2:$A$96,0)),""))</f>
        <v/>
      </c>
      <c r="L153" s="3">
        <f>IF(OR(K153="",F153=""),"",F153/1000*K153*100)</f>
        <v/>
      </c>
      <c r="M153">
        <f>IF(OR(L153="",L153=0),"",ROUND(100/L153,0))</f>
        <v/>
      </c>
      <c r="N153" t="inlineStr">
        <is>
          <t>low sample</t>
        </is>
      </c>
    </row>
    <row r="154">
      <c r="A154" t="n">
        <v>84</v>
      </c>
      <c r="B154" t="inlineStr">
        <is>
          <t>Bashim Base</t>
        </is>
      </c>
      <c r="C154" t="inlineStr">
        <is>
          <t>Atanis' Element</t>
        </is>
      </c>
      <c r="D154" t="n">
        <v>1.242665</v>
      </c>
      <c r="E154" t="n">
        <v>5383.6</v>
      </c>
      <c r="F154" s="3" t="n">
        <v>0.2308241697005721</v>
      </c>
      <c r="G154" t="n">
        <v>4332</v>
      </c>
      <c r="H154" s="3" t="n">
        <v>0.1326311704172027</v>
      </c>
      <c r="I154" s="3" t="n">
        <v>0.3732299625767908</v>
      </c>
      <c r="J154" t="n">
        <v>16.3</v>
      </c>
      <c r="K154">
        <f>IF(IFERROR(INDEX(Spots!$K$2:$K$96,MATCH(A154,Spots!$A$2:$A$96,0)),"")="","",IFERROR(INDEX(Spots!$K$2:$K$96,MATCH(A154,Spots!$A$2:$A$96,0)),""))</f>
        <v/>
      </c>
      <c r="L154" s="3">
        <f>IF(OR(K154="",F154=""),"",F154/1000*K154*100)</f>
        <v/>
      </c>
      <c r="M154">
        <f>IF(OR(L154="",L154=0),"",ROUND(100/L154,0))</f>
        <v/>
      </c>
      <c r="N154" t="inlineStr">
        <is>
          <t>low sample</t>
        </is>
      </c>
    </row>
    <row r="155">
      <c r="A155" t="n">
        <v>84</v>
      </c>
      <c r="B155" t="inlineStr">
        <is>
          <t>Bashim Base</t>
        </is>
      </c>
      <c r="C155" t="inlineStr">
        <is>
          <t>Mass of Pure Magic</t>
        </is>
      </c>
      <c r="D155" t="n">
        <v>1.004909</v>
      </c>
      <c r="E155" t="n">
        <v>5383.6</v>
      </c>
      <c r="F155" s="3" t="n">
        <v>0.1866611561037224</v>
      </c>
      <c r="G155" t="n">
        <v>5357</v>
      </c>
      <c r="H155" s="3" t="n">
        <v>0.09979472349200308</v>
      </c>
      <c r="I155" s="3" t="n">
        <v>0.3180716223394618</v>
      </c>
      <c r="J155" t="n">
        <v>13.2</v>
      </c>
      <c r="K155">
        <f>IF(IFERROR(INDEX(Spots!$K$2:$K$96,MATCH(A155,Spots!$A$2:$A$96,0)),"")="","",IFERROR(INDEX(Spots!$K$2:$K$96,MATCH(A155,Spots!$A$2:$A$96,0)),""))</f>
        <v/>
      </c>
      <c r="L155" s="3">
        <f>IF(OR(K155="",F155=""),"",F155/1000*K155*100)</f>
        <v/>
      </c>
      <c r="M155">
        <f>IF(OR(L155="",L155=0),"",ROUND(100/L155,0))</f>
        <v/>
      </c>
      <c r="N155" t="inlineStr">
        <is>
          <t>low sample</t>
        </is>
      </c>
    </row>
    <row r="156">
      <c r="A156" t="n">
        <v>84</v>
      </c>
      <c r="B156" t="inlineStr">
        <is>
          <t>Bashim Base</t>
        </is>
      </c>
      <c r="C156" t="inlineStr">
        <is>
          <t>Rosar Main Weapon Box</t>
        </is>
      </c>
      <c r="D156" t="n">
        <v>1.001368</v>
      </c>
      <c r="E156" t="n">
        <v>5383.6</v>
      </c>
      <c r="F156" s="3" t="n">
        <v>0.1860034177873542</v>
      </c>
      <c r="G156" t="n">
        <v>5376</v>
      </c>
      <c r="H156" s="3" t="n">
        <v>0.09931532605687209</v>
      </c>
      <c r="I156" s="3" t="n">
        <v>0.3172412930987921</v>
      </c>
      <c r="J156" t="n">
        <v>13.1</v>
      </c>
      <c r="K156">
        <f>IF(IFERROR(INDEX(Spots!$K$2:$K$96,MATCH(A156,Spots!$A$2:$A$96,0)),"")="","",IFERROR(INDEX(Spots!$K$2:$K$96,MATCH(A156,Spots!$A$2:$A$96,0)),""))</f>
        <v/>
      </c>
      <c r="L156" s="3">
        <f>IF(OR(K156="",F156=""),"",F156/1000*K156*100)</f>
        <v/>
      </c>
      <c r="M156">
        <f>IF(OR(L156="",L156=0),"",ROUND(100/L156,0))</f>
        <v/>
      </c>
      <c r="N156" t="inlineStr">
        <is>
          <t>low sample</t>
        </is>
      </c>
    </row>
    <row r="157">
      <c r="A157" t="n">
        <v>84</v>
      </c>
      <c r="B157" t="inlineStr">
        <is>
          <t>Bashim Base</t>
        </is>
      </c>
      <c r="C157" t="inlineStr">
        <is>
          <t>Imperfect Lightstone of Wind</t>
        </is>
      </c>
      <c r="D157" t="n">
        <v>0.56375726</v>
      </c>
      <c r="E157" t="n">
        <v>5383.6</v>
      </c>
      <c r="F157" s="3" t="n">
        <v>0.1047175235901627</v>
      </c>
      <c r="G157" t="n">
        <v>9550</v>
      </c>
      <c r="H157" s="3" t="n">
        <v>0.04325062001128094</v>
      </c>
      <c r="I157" s="3" t="n">
        <v>0.2117821829604747</v>
      </c>
      <c r="J157" t="n">
        <v>7.4</v>
      </c>
      <c r="K157">
        <f>IF(IFERROR(INDEX(Spots!$K$2:$K$96,MATCH(A157,Spots!$A$2:$A$96,0)),"")="","",IFERROR(INDEX(Spots!$K$2:$K$96,MATCH(A157,Spots!$A$2:$A$96,0)),""))</f>
        <v/>
      </c>
      <c r="L157" s="3">
        <f>IF(OR(K157="",F157=""),"",F157/1000*K157*100)</f>
        <v/>
      </c>
      <c r="M157">
        <f>IF(OR(L157="",L157=0),"",ROUND(100/L157,0))</f>
        <v/>
      </c>
      <c r="N157" t="inlineStr">
        <is>
          <t>low sample</t>
        </is>
      </c>
    </row>
    <row r="158">
      <c r="A158" t="n">
        <v>84</v>
      </c>
      <c r="B158" t="inlineStr">
        <is>
          <t>Bashim Base</t>
        </is>
      </c>
      <c r="C158" t="inlineStr">
        <is>
          <t>Any Artifact</t>
        </is>
      </c>
      <c r="D158" t="n">
        <v>0.34774315</v>
      </c>
      <c r="E158" t="n">
        <v>5383.6</v>
      </c>
      <c r="F158" s="3" t="n">
        <v>0.06459305111821086</v>
      </c>
      <c r="G158" t="n">
        <v>15482</v>
      </c>
      <c r="H158" s="3" t="n">
        <v>0.0194037250291514</v>
      </c>
      <c r="I158" s="3" t="n">
        <v>0.156439946123431</v>
      </c>
      <c r="J158" t="n">
        <v>4.6</v>
      </c>
      <c r="K158">
        <f>IF(IFERROR(INDEX(Spots!$K$2:$K$96,MATCH(A158,Spots!$A$2:$A$96,0)),"")="","",IFERROR(INDEX(Spots!$K$2:$K$96,MATCH(A158,Spots!$A$2:$A$96,0)),""))</f>
        <v/>
      </c>
      <c r="L158" s="3">
        <f>IF(OR(K158="",F158=""),"",F158/1000*K158*100)</f>
        <v/>
      </c>
      <c r="M158">
        <f>IF(OR(L158="",L158=0),"",ROUND(100/L158,0))</f>
        <v/>
      </c>
      <c r="N158" t="inlineStr">
        <is>
          <t>low sample</t>
        </is>
      </c>
    </row>
    <row r="159">
      <c r="A159" t="n">
        <v>84</v>
      </c>
      <c r="B159" t="inlineStr">
        <is>
          <t>Bashim Base</t>
        </is>
      </c>
      <c r="C159" t="inlineStr">
        <is>
          <t>Imperfect Lightstone of Earth</t>
        </is>
      </c>
      <c r="D159" t="n">
        <v>0.07086968</v>
      </c>
      <c r="E159" t="n">
        <v>5383.6</v>
      </c>
      <c r="F159" s="3" t="n">
        <v>0.01316399435322089</v>
      </c>
      <c r="G159" t="n">
        <v>75965</v>
      </c>
      <c r="H159" s="3" t="n">
        <v>0.0001098632187647347</v>
      </c>
      <c r="I159" s="3" t="n">
        <v>0.07704767674778959</v>
      </c>
      <c r="J159" t="n">
        <v>0.9</v>
      </c>
      <c r="K159">
        <f>IF(IFERROR(INDEX(Spots!$K$2:$K$96,MATCH(A159,Spots!$A$2:$A$96,0)),"")="","",IFERROR(INDEX(Spots!$K$2:$K$96,MATCH(A159,Spots!$A$2:$A$96,0)),""))</f>
        <v/>
      </c>
      <c r="L159" s="3">
        <f>IF(OR(K159="",F159=""),"",F159/1000*K159*100)</f>
        <v/>
      </c>
      <c r="M159">
        <f>IF(OR(L159="",L159=0),"",ROUND(100/L159,0))</f>
        <v/>
      </c>
      <c r="N159" t="inlineStr">
        <is>
          <t>low sample</t>
        </is>
      </c>
    </row>
    <row r="160">
      <c r="A160" t="n">
        <v>84</v>
      </c>
      <c r="B160" t="inlineStr">
        <is>
          <t>Bashim Base</t>
        </is>
      </c>
      <c r="C160" t="inlineStr">
        <is>
          <t>Imperfect Lightstone of Fire</t>
        </is>
      </c>
      <c r="D160" t="n">
        <v>0.04866679</v>
      </c>
      <c r="E160" t="n">
        <v>5383.6</v>
      </c>
      <c r="F160" s="3" t="n">
        <v>0.009039822795155656</v>
      </c>
      <c r="G160" t="n">
        <v>110622</v>
      </c>
      <c r="H160" s="3" t="n">
        <v>5.011861951642732e-09</v>
      </c>
      <c r="I160" s="3" t="n">
        <v>0.06965504445274259</v>
      </c>
      <c r="J160" t="n">
        <v>0.6</v>
      </c>
      <c r="K160">
        <f>IF(IFERROR(INDEX(Spots!$K$2:$K$96,MATCH(A160,Spots!$A$2:$A$96,0)),"")="","",IFERROR(INDEX(Spots!$K$2:$K$96,MATCH(A160,Spots!$A$2:$A$96,0)),""))</f>
        <v/>
      </c>
      <c r="L160" s="3">
        <f>IF(OR(K160="",F160=""),"",F160/1000*K160*100)</f>
        <v/>
      </c>
      <c r="M160">
        <f>IF(OR(L160="",L160=0),"",ROUND(100/L160,0))</f>
        <v/>
      </c>
      <c r="N160" t="inlineStr">
        <is>
          <t>low sample</t>
        </is>
      </c>
    </row>
    <row r="161">
      <c r="A161" t="n">
        <v>84</v>
      </c>
      <c r="B161" t="inlineStr">
        <is>
          <t>Bashim Base</t>
        </is>
      </c>
      <c r="C161" t="inlineStr">
        <is>
          <t>Great Marni's Stone (Bashim)</t>
        </is>
      </c>
      <c r="D161" t="n">
        <v>0.01270651</v>
      </c>
      <c r="E161" t="n">
        <v>5383.6</v>
      </c>
      <c r="F161" s="3" t="n">
        <v>0.002360225499665651</v>
      </c>
      <c r="G161" t="n">
        <v>423688</v>
      </c>
      <c r="H161" s="3" t="n">
        <v>0</v>
      </c>
      <c r="I161" s="3" t="n">
        <v>0.05684117622879754</v>
      </c>
      <c r="J161" t="n">
        <v>0.2</v>
      </c>
      <c r="K161">
        <f>IF(IFERROR(INDEX(Spots!$K$2:$K$96,MATCH(A161,Spots!$A$2:$A$96,0)),"")="","",IFERROR(INDEX(Spots!$K$2:$K$96,MATCH(A161,Spots!$A$2:$A$96,0)),""))</f>
        <v/>
      </c>
      <c r="L161" s="3">
        <f>IF(OR(K161="",F161=""),"",F161/1000*K161*100)</f>
        <v/>
      </c>
      <c r="M161">
        <f>IF(OR(L161="",L161=0),"",ROUND(100/L161,0))</f>
        <v/>
      </c>
      <c r="N161" t="inlineStr">
        <is>
          <t>low sample</t>
        </is>
      </c>
    </row>
    <row r="162">
      <c r="A162" t="n">
        <v>84</v>
      </c>
      <c r="B162" t="inlineStr">
        <is>
          <t>Bashim Base</t>
        </is>
      </c>
      <c r="C162" t="inlineStr">
        <is>
          <t>Specter's Energy</t>
        </is>
      </c>
      <c r="D162" t="n">
        <v>0</v>
      </c>
      <c r="E162" t="n">
        <v>5383.6</v>
      </c>
      <c r="F162" s="3" t="n">
        <v>0</v>
      </c>
      <c r="H162" s="3" t="n">
        <v>0</v>
      </c>
      <c r="I162" s="3" t="n">
        <v>0.0522411091221275</v>
      </c>
      <c r="J162" t="n">
        <v>0</v>
      </c>
      <c r="K162">
        <f>IF(IFERROR(INDEX(Spots!$K$2:$K$96,MATCH(A162,Spots!$A$2:$A$96,0)),"")="","",IFERROR(INDEX(Spots!$K$2:$K$96,MATCH(A162,Spots!$A$2:$A$96,0)),""))</f>
        <v/>
      </c>
      <c r="L162" s="3">
        <f>IF(OR(K162="",F162=""),"",F162/1000*K162*100)</f>
        <v/>
      </c>
      <c r="M162">
        <f>IF(OR(L162="",L162=0),"",ROUND(100/L162,0))</f>
        <v/>
      </c>
      <c r="N162" t="inlineStr">
        <is>
          <t>no drops recorded</t>
        </is>
      </c>
    </row>
    <row r="163">
      <c r="A163" t="n">
        <v>89</v>
      </c>
      <c r="B163" t="inlineStr">
        <is>
          <t>Basilisk Den</t>
        </is>
      </c>
      <c r="C163" t="inlineStr">
        <is>
          <t>Black Stone</t>
        </is>
      </c>
      <c r="D163" t="n">
        <v>118.91</v>
      </c>
      <c r="E163" t="n">
        <v>5668</v>
      </c>
      <c r="F163" s="3" t="n">
        <v>20.97918136908963</v>
      </c>
      <c r="G163" t="n">
        <v>48</v>
      </c>
      <c r="H163" s="3" t="n">
        <v>20.00545060548555</v>
      </c>
      <c r="I163" s="3" t="n">
        <v>21.98805050500912</v>
      </c>
      <c r="J163" t="n">
        <v>1742</v>
      </c>
      <c r="K163">
        <f>IF(IFERROR(INDEX(Spots!$K$2:$K$96,MATCH(A163,Spots!$A$2:$A$96,0)),"")="","",IFERROR(INDEX(Spots!$K$2:$K$96,MATCH(A163,Spots!$A$2:$A$96,0)),""))</f>
        <v/>
      </c>
      <c r="L163" s="3">
        <f>IF(OR(K163="",F163=""),"",F163/1000*K163*100)</f>
        <v/>
      </c>
      <c r="M163">
        <f>IF(OR(L163="",L163=0),"",ROUND(100/L163,0))</f>
        <v/>
      </c>
      <c r="N163" t="inlineStr">
        <is>
          <t>low sample</t>
        </is>
      </c>
    </row>
    <row r="164">
      <c r="A164" t="n">
        <v>89</v>
      </c>
      <c r="B164" t="inlineStr">
        <is>
          <t>Basilisk Den</t>
        </is>
      </c>
      <c r="C164" t="inlineStr">
        <is>
          <t>Caphras Stone</t>
        </is>
      </c>
      <c r="D164" t="n">
        <v>20.068</v>
      </c>
      <c r="E164" t="n">
        <v>5668</v>
      </c>
      <c r="F164" s="3" t="n">
        <v>3.540578687367678</v>
      </c>
      <c r="G164" t="n">
        <v>282</v>
      </c>
      <c r="H164" s="3" t="n">
        <v>3.147366969703368</v>
      </c>
      <c r="I164" s="3" t="n">
        <v>3.96932680134804</v>
      </c>
      <c r="J164" t="n">
        <v>294</v>
      </c>
      <c r="K164">
        <f>IF(IFERROR(INDEX(Spots!$K$2:$K$96,MATCH(A164,Spots!$A$2:$A$96,0)),"")="","",IFERROR(INDEX(Spots!$K$2:$K$96,MATCH(A164,Spots!$A$2:$A$96,0)),""))</f>
        <v/>
      </c>
      <c r="L164" s="3">
        <f>IF(OR(K164="",F164=""),"",F164/1000*K164*100)</f>
        <v/>
      </c>
      <c r="M164">
        <f>IF(OR(L164="",L164=0),"",ROUND(100/L164,0))</f>
        <v/>
      </c>
      <c r="N164" t="inlineStr">
        <is>
          <t>low sample</t>
        </is>
      </c>
    </row>
    <row r="165">
      <c r="A165" t="n">
        <v>89</v>
      </c>
      <c r="B165" t="inlineStr">
        <is>
          <t>Basilisk Den</t>
        </is>
      </c>
      <c r="C165" t="inlineStr">
        <is>
          <t>Scroll Written in Ancient Language</t>
        </is>
      </c>
      <c r="D165" t="n">
        <v>12.765</v>
      </c>
      <c r="E165" t="n">
        <v>5668</v>
      </c>
      <c r="F165" s="3" t="n">
        <v>2.25211714890614</v>
      </c>
      <c r="G165" t="n">
        <v>444</v>
      </c>
      <c r="H165" s="3" t="n">
        <v>1.940866982097596</v>
      </c>
      <c r="I165" s="3" t="n">
        <v>2.599073134951471</v>
      </c>
      <c r="J165" t="n">
        <v>187</v>
      </c>
      <c r="K165">
        <f>IF(IFERROR(INDEX(Spots!$K$2:$K$96,MATCH(A165,Spots!$A$2:$A$96,0)),"")="","",IFERROR(INDEX(Spots!$K$2:$K$96,MATCH(A165,Spots!$A$2:$A$96,0)),""))</f>
        <v/>
      </c>
      <c r="L165" s="3">
        <f>IF(OR(K165="",F165=""),"",F165/1000*K165*100)</f>
        <v/>
      </c>
      <c r="M165">
        <f>IF(OR(L165="",L165=0),"",ROUND(100/L165,0))</f>
        <v/>
      </c>
      <c r="N165" t="inlineStr">
        <is>
          <t>low sample</t>
        </is>
      </c>
    </row>
    <row r="166">
      <c r="A166" t="n">
        <v>89</v>
      </c>
      <c r="B166" t="inlineStr">
        <is>
          <t>Basilisk Den</t>
        </is>
      </c>
      <c r="C166" t="inlineStr">
        <is>
          <t>Rocaba Defense Gear Box</t>
        </is>
      </c>
      <c r="D166" t="n">
        <v>10.922</v>
      </c>
      <c r="E166" t="n">
        <v>5668</v>
      </c>
      <c r="F166" s="3" t="n">
        <v>1.926958362738179</v>
      </c>
      <c r="G166" t="n">
        <v>519</v>
      </c>
      <c r="H166" s="3" t="n">
        <v>1.639928061306313</v>
      </c>
      <c r="I166" s="3" t="n">
        <v>2.2497619806571</v>
      </c>
      <c r="J166" t="n">
        <v>160</v>
      </c>
      <c r="K166">
        <f>IF(IFERROR(INDEX(Spots!$K$2:$K$96,MATCH(A166,Spots!$A$2:$A$96,0)),"")="","",IFERROR(INDEX(Spots!$K$2:$K$96,MATCH(A166,Spots!$A$2:$A$96,0)),""))</f>
        <v/>
      </c>
      <c r="L166" s="3">
        <f>IF(OR(K166="",F166=""),"",F166/1000*K166*100)</f>
        <v/>
      </c>
      <c r="M166">
        <f>IF(OR(L166="",L166=0),"",ROUND(100/L166,0))</f>
        <v/>
      </c>
      <c r="N166" t="inlineStr">
        <is>
          <t>low sample</t>
        </is>
      </c>
    </row>
    <row r="167">
      <c r="A167" t="n">
        <v>89</v>
      </c>
      <c r="B167" t="inlineStr">
        <is>
          <t>Basilisk Den</t>
        </is>
      </c>
      <c r="C167" t="inlineStr">
        <is>
          <t>Ancient Spirit Dust</t>
        </is>
      </c>
      <c r="D167" t="n">
        <v>10.512</v>
      </c>
      <c r="E167" t="n">
        <v>5668</v>
      </c>
      <c r="F167" s="3" t="n">
        <v>1.854622441778405</v>
      </c>
      <c r="G167" t="n">
        <v>539</v>
      </c>
      <c r="H167" s="3" t="n">
        <v>1.573252464201178</v>
      </c>
      <c r="I167" s="3" t="n">
        <v>2.1717830844405</v>
      </c>
      <c r="J167" t="n">
        <v>154</v>
      </c>
      <c r="K167">
        <f>IF(IFERROR(INDEX(Spots!$K$2:$K$96,MATCH(A167,Spots!$A$2:$A$96,0)),"")="","",IFERROR(INDEX(Spots!$K$2:$K$96,MATCH(A167,Spots!$A$2:$A$96,0)),""))</f>
        <v/>
      </c>
      <c r="L167" s="3">
        <f>IF(OR(K167="",F167=""),"",F167/1000*K167*100)</f>
        <v/>
      </c>
      <c r="M167">
        <f>IF(OR(L167="",L167=0),"",ROUND(100/L167,0))</f>
        <v/>
      </c>
      <c r="N167" t="inlineStr">
        <is>
          <t>low sample</t>
        </is>
      </c>
    </row>
    <row r="168">
      <c r="A168" t="n">
        <v>89</v>
      </c>
      <c r="B168" t="inlineStr">
        <is>
          <t>Basilisk Den</t>
        </is>
      </c>
      <c r="C168" t="inlineStr">
        <is>
          <t>Mass of Pure Magic</t>
        </is>
      </c>
      <c r="D168" t="n">
        <v>7.030717</v>
      </c>
      <c r="E168" t="n">
        <v>5668</v>
      </c>
      <c r="F168" s="3" t="n">
        <v>1.240422900494001</v>
      </c>
      <c r="G168" t="n">
        <v>806</v>
      </c>
      <c r="H168" s="3" t="n">
        <v>1.012447217498262</v>
      </c>
      <c r="I168" s="3" t="n">
        <v>1.504392151127753</v>
      </c>
      <c r="J168" t="n">
        <v>103</v>
      </c>
      <c r="K168">
        <f>IF(IFERROR(INDEX(Spots!$K$2:$K$96,MATCH(A168,Spots!$A$2:$A$96,0)),"")="","",IFERROR(INDEX(Spots!$K$2:$K$96,MATCH(A168,Spots!$A$2:$A$96,0)),""))</f>
        <v/>
      </c>
      <c r="L168" s="3">
        <f>IF(OR(K168="",F168=""),"",F168/1000*K168*100)</f>
        <v/>
      </c>
      <c r="M168">
        <f>IF(OR(L168="",L168=0),"",ROUND(100/L168,0))</f>
        <v/>
      </c>
      <c r="N168" t="inlineStr">
        <is>
          <t>low sample</t>
        </is>
      </c>
    </row>
    <row r="169">
      <c r="A169" t="n">
        <v>89</v>
      </c>
      <c r="B169" t="inlineStr">
        <is>
          <t>Basilisk Den</t>
        </is>
      </c>
      <c r="C169" t="inlineStr">
        <is>
          <t>Sealed Black Magic Crystal</t>
        </is>
      </c>
      <c r="D169" t="n">
        <v>4.505119</v>
      </c>
      <c r="E169" t="n">
        <v>5668</v>
      </c>
      <c r="F169" s="3" t="n">
        <v>0.7948339802399434</v>
      </c>
      <c r="G169" t="n">
        <v>1258</v>
      </c>
      <c r="H169" s="3" t="n">
        <v>0.614692450668464</v>
      </c>
      <c r="I169" s="3" t="n">
        <v>1.011243469844013</v>
      </c>
      <c r="J169" t="n">
        <v>66</v>
      </c>
      <c r="K169">
        <f>IF(IFERROR(INDEX(Spots!$K$2:$K$96,MATCH(A169,Spots!$A$2:$A$96,0)),"")="","",IFERROR(INDEX(Spots!$K$2:$K$96,MATCH(A169,Spots!$A$2:$A$96,0)),""))</f>
        <v/>
      </c>
      <c r="L169" s="3">
        <f>IF(OR(K169="",F169=""),"",F169/1000*K169*100)</f>
        <v/>
      </c>
      <c r="M169">
        <f>IF(OR(L169="",L169=0),"",ROUND(100/L169,0))</f>
        <v/>
      </c>
      <c r="N169" t="inlineStr">
        <is>
          <t>low sample</t>
        </is>
      </c>
    </row>
    <row r="170">
      <c r="A170" t="n">
        <v>89</v>
      </c>
      <c r="B170" t="inlineStr">
        <is>
          <t>Basilisk Den</t>
        </is>
      </c>
      <c r="C170" t="inlineStr">
        <is>
          <t>Basilisk's Belt</t>
        </is>
      </c>
      <c r="D170" t="n">
        <v>1.296928</v>
      </c>
      <c r="E170" t="n">
        <v>5668</v>
      </c>
      <c r="F170" s="3" t="n">
        <v>0.2288158080451659</v>
      </c>
      <c r="G170" t="n">
        <v>4370</v>
      </c>
      <c r="H170" s="3" t="n">
        <v>0.1376973529521855</v>
      </c>
      <c r="I170" s="3" t="n">
        <v>0.3573447475348289</v>
      </c>
      <c r="J170" t="n">
        <v>19</v>
      </c>
      <c r="K170">
        <f>IF(IFERROR(INDEX(Spots!$K$2:$K$96,MATCH(A170,Spots!$A$2:$A$96,0)),"")="","",IFERROR(INDEX(Spots!$K$2:$K$96,MATCH(A170,Spots!$A$2:$A$96,0)),""))</f>
        <v/>
      </c>
      <c r="L170" s="3">
        <f>IF(OR(K170="",F170=""),"",F170/1000*K170*100)</f>
        <v/>
      </c>
      <c r="M170">
        <f>IF(OR(L170="",L170=0),"",ROUND(100/L170,0))</f>
        <v/>
      </c>
      <c r="N170" t="inlineStr">
        <is>
          <t>low sample</t>
        </is>
      </c>
    </row>
    <row r="171">
      <c r="A171" t="n">
        <v>89</v>
      </c>
      <c r="B171" t="inlineStr">
        <is>
          <t>Basilisk Den</t>
        </is>
      </c>
      <c r="C171" t="inlineStr">
        <is>
          <t>Any Artifact</t>
        </is>
      </c>
      <c r="D171" t="n">
        <v>1.228669</v>
      </c>
      <c r="E171" t="n">
        <v>5668</v>
      </c>
      <c r="F171" s="3" t="n">
        <v>0.2167729357798165</v>
      </c>
      <c r="G171" t="n">
        <v>4613</v>
      </c>
      <c r="H171" s="3" t="n">
        <v>0.1284064978981178</v>
      </c>
      <c r="I171" s="3" t="n">
        <v>0.3426149850652538</v>
      </c>
      <c r="J171" t="n">
        <v>18</v>
      </c>
      <c r="K171">
        <f>IF(IFERROR(INDEX(Spots!$K$2:$K$96,MATCH(A171,Spots!$A$2:$A$96,0)),"")="","",IFERROR(INDEX(Spots!$K$2:$K$96,MATCH(A171,Spots!$A$2:$A$96,0)),""))</f>
        <v/>
      </c>
      <c r="L171" s="3">
        <f>IF(OR(K171="",F171=""),"",F171/1000*K171*100)</f>
        <v/>
      </c>
      <c r="M171">
        <f>IF(OR(L171="",L171=0),"",ROUND(100/L171,0))</f>
        <v/>
      </c>
      <c r="N171" t="inlineStr">
        <is>
          <t>low sample</t>
        </is>
      </c>
    </row>
    <row r="172">
      <c r="A172" t="n">
        <v>89</v>
      </c>
      <c r="B172" t="inlineStr">
        <is>
          <t>Basilisk Den</t>
        </is>
      </c>
      <c r="C172" t="inlineStr">
        <is>
          <t>Imperfect Lightstone of Fire</t>
        </is>
      </c>
      <c r="D172" t="n">
        <v>0.4778157</v>
      </c>
      <c r="E172" t="n">
        <v>5668</v>
      </c>
      <c r="F172" s="3" t="n">
        <v>0.08430058221594919</v>
      </c>
      <c r="G172" t="n">
        <v>11862</v>
      </c>
      <c r="H172" s="3" t="n">
        <v>0.03377296773837702</v>
      </c>
      <c r="I172" s="3" t="n">
        <v>0.1737003073965949</v>
      </c>
      <c r="J172" t="n">
        <v>7</v>
      </c>
      <c r="K172">
        <f>IF(IFERROR(INDEX(Spots!$K$2:$K$96,MATCH(A172,Spots!$A$2:$A$96,0)),"")="","",IFERROR(INDEX(Spots!$K$2:$K$96,MATCH(A172,Spots!$A$2:$A$96,0)),""))</f>
        <v/>
      </c>
      <c r="L172" s="3">
        <f>IF(OR(K172="",F172=""),"",F172/1000*K172*100)</f>
        <v/>
      </c>
      <c r="M172">
        <f>IF(OR(L172="",L172=0),"",ROUND(100/L172,0))</f>
        <v/>
      </c>
      <c r="N172" t="inlineStr">
        <is>
          <t>low sample</t>
        </is>
      </c>
    </row>
    <row r="173">
      <c r="A173" t="n">
        <v>89</v>
      </c>
      <c r="B173" t="inlineStr">
        <is>
          <t>Basilisk Den</t>
        </is>
      </c>
      <c r="C173" t="inlineStr">
        <is>
          <t>Specter's Energy</t>
        </is>
      </c>
      <c r="D173" t="n">
        <v>0.20477816</v>
      </c>
      <c r="E173" t="n">
        <v>5668</v>
      </c>
      <c r="F173" s="3" t="n">
        <v>0.03612882145377558</v>
      </c>
      <c r="G173" t="n">
        <v>27679</v>
      </c>
      <c r="H173" s="3" t="n">
        <v>0.007261305141784457</v>
      </c>
      <c r="I173" s="3" t="n">
        <v>0.1055622245077597</v>
      </c>
      <c r="J173" t="n">
        <v>3</v>
      </c>
      <c r="K173">
        <f>IF(IFERROR(INDEX(Spots!$K$2:$K$96,MATCH(A173,Spots!$A$2:$A$96,0)),"")="","",IFERROR(INDEX(Spots!$K$2:$K$96,MATCH(A173,Spots!$A$2:$A$96,0)),""))</f>
        <v/>
      </c>
      <c r="L173" s="3">
        <f>IF(OR(K173="",F173=""),"",F173/1000*K173*100)</f>
        <v/>
      </c>
      <c r="M173">
        <f>IF(OR(L173="",L173=0),"",ROUND(100/L173,0))</f>
        <v/>
      </c>
      <c r="N173" t="inlineStr">
        <is>
          <t>low sample</t>
        </is>
      </c>
    </row>
    <row r="174">
      <c r="A174" t="n">
        <v>89</v>
      </c>
      <c r="B174" t="inlineStr">
        <is>
          <t>Basilisk Den</t>
        </is>
      </c>
      <c r="C174" t="inlineStr">
        <is>
          <t>Imperfect Lightstone of Earth</t>
        </is>
      </c>
      <c r="D174" t="n">
        <v>0.20477816</v>
      </c>
      <c r="E174" t="n">
        <v>5668</v>
      </c>
      <c r="F174" s="3" t="n">
        <v>0.03612882145377558</v>
      </c>
      <c r="G174" t="n">
        <v>27679</v>
      </c>
      <c r="H174" s="3" t="n">
        <v>0.007261305141784457</v>
      </c>
      <c r="I174" s="3" t="n">
        <v>0.1055622245077597</v>
      </c>
      <c r="J174" t="n">
        <v>3</v>
      </c>
      <c r="K174">
        <f>IF(IFERROR(INDEX(Spots!$K$2:$K$96,MATCH(A174,Spots!$A$2:$A$96,0)),"")="","",IFERROR(INDEX(Spots!$K$2:$K$96,MATCH(A174,Spots!$A$2:$A$96,0)),""))</f>
        <v/>
      </c>
      <c r="L174" s="3">
        <f>IF(OR(K174="",F174=""),"",F174/1000*K174*100)</f>
        <v/>
      </c>
      <c r="M174">
        <f>IF(OR(L174="",L174=0),"",ROUND(100/L174,0))</f>
        <v/>
      </c>
      <c r="N174" t="inlineStr">
        <is>
          <t>low sample</t>
        </is>
      </c>
    </row>
    <row r="175">
      <c r="A175" t="n">
        <v>89</v>
      </c>
      <c r="B175" t="inlineStr">
        <is>
          <t>Basilisk Den</t>
        </is>
      </c>
      <c r="C175" t="inlineStr">
        <is>
          <t>Imperfect Lightstone of Wind</t>
        </is>
      </c>
      <c r="D175" t="n">
        <v>0.06825939</v>
      </c>
      <c r="E175" t="n">
        <v>5668</v>
      </c>
      <c r="F175" s="3" t="n">
        <v>0.01204294107268878</v>
      </c>
      <c r="G175" t="n">
        <v>83036</v>
      </c>
      <c r="H175" s="3" t="n">
        <v>0.0001574029144886642</v>
      </c>
      <c r="I175" s="3" t="n">
        <v>0.06700519098877655</v>
      </c>
      <c r="J175" t="n">
        <v>1</v>
      </c>
      <c r="K175">
        <f>IF(IFERROR(INDEX(Spots!$K$2:$K$96,MATCH(A175,Spots!$A$2:$A$96,0)),"")="","",IFERROR(INDEX(Spots!$K$2:$K$96,MATCH(A175,Spots!$A$2:$A$96,0)),""))</f>
        <v/>
      </c>
      <c r="L175" s="3">
        <f>IF(OR(K175="",F175=""),"",F175/1000*K175*100)</f>
        <v/>
      </c>
      <c r="M175">
        <f>IF(OR(L175="",L175=0),"",ROUND(100/L175,0))</f>
        <v/>
      </c>
      <c r="N175" t="inlineStr">
        <is>
          <t>low sample</t>
        </is>
      </c>
    </row>
    <row r="176">
      <c r="A176" t="n">
        <v>89</v>
      </c>
      <c r="B176" t="inlineStr">
        <is>
          <t>Basilisk Den</t>
        </is>
      </c>
      <c r="C176" t="inlineStr">
        <is>
          <t>Great Marni's Stone (Basilisk)</t>
        </is>
      </c>
      <c r="D176" t="n">
        <v>0</v>
      </c>
      <c r="E176" t="n">
        <v>5668</v>
      </c>
      <c r="F176" s="3" t="n">
        <v>0</v>
      </c>
      <c r="H176" s="3" t="n">
        <v>0</v>
      </c>
      <c r="I176" s="3" t="n">
        <v>0.04442640679607207</v>
      </c>
      <c r="J176" t="n">
        <v>0</v>
      </c>
      <c r="K176">
        <f>IF(IFERROR(INDEX(Spots!$K$2:$K$96,MATCH(A176,Spots!$A$2:$A$96,0)),"")="","",IFERROR(INDEX(Spots!$K$2:$K$96,MATCH(A176,Spots!$A$2:$A$96,0)),""))</f>
        <v/>
      </c>
      <c r="L176" s="3">
        <f>IF(OR(K176="",F176=""),"",F176/1000*K176*100)</f>
        <v/>
      </c>
      <c r="M176">
        <f>IF(OR(L176="",L176=0),"",ROUND(100/L176,0))</f>
        <v/>
      </c>
      <c r="N176" t="inlineStr">
        <is>
          <t>no drops recorded</t>
        </is>
      </c>
    </row>
    <row r="177">
      <c r="A177" t="n">
        <v>12</v>
      </c>
      <c r="B177" t="inlineStr">
        <is>
          <t>Biraghi Den</t>
        </is>
      </c>
      <c r="C177" t="inlineStr">
        <is>
          <t>Black Stone</t>
        </is>
      </c>
      <c r="D177" t="n">
        <v>43.685</v>
      </c>
      <c r="E177" t="n">
        <v>6695.3</v>
      </c>
      <c r="F177" s="3" t="n">
        <v>6.524726300539185</v>
      </c>
      <c r="G177" t="n">
        <v>153</v>
      </c>
      <c r="H177" s="3" t="n">
        <v>6.3722281091686</v>
      </c>
      <c r="I177" s="3" t="n">
        <v>6.679952391678076</v>
      </c>
      <c r="J177" t="n">
        <v>6951</v>
      </c>
      <c r="K177">
        <f>IF(IFERROR(INDEX(Spots!$K$2:$K$96,MATCH(A177,Spots!$A$2:$A$96,0)),"")="","",IFERROR(INDEX(Spots!$K$2:$K$96,MATCH(A177,Spots!$A$2:$A$96,0)),""))</f>
        <v/>
      </c>
      <c r="L177" s="3">
        <f>IF(OR(K177="",F177=""),"",F177/1000*K177*100)</f>
        <v/>
      </c>
      <c r="M177">
        <f>IF(OR(L177="",L177=0),"",ROUND(100/L177,0))</f>
        <v/>
      </c>
      <c r="N177" t="inlineStr"/>
    </row>
    <row r="178">
      <c r="A178" t="n">
        <v>12</v>
      </c>
      <c r="B178" t="inlineStr">
        <is>
          <t>Biraghi Den</t>
        </is>
      </c>
      <c r="C178" t="inlineStr">
        <is>
          <t>Trace of Nature</t>
        </is>
      </c>
      <c r="D178" t="n">
        <v>23.908</v>
      </c>
      <c r="E178" t="n">
        <v>6695.3</v>
      </c>
      <c r="F178" s="3" t="n">
        <v>3.570863142801667</v>
      </c>
      <c r="G178" t="n">
        <v>280</v>
      </c>
      <c r="H178" s="3" t="n">
        <v>3.458279710012029</v>
      </c>
      <c r="I178" s="3" t="n">
        <v>3.686178332452281</v>
      </c>
      <c r="J178" t="n">
        <v>3804.2</v>
      </c>
      <c r="K178">
        <f>IF(IFERROR(INDEX(Spots!$K$2:$K$96,MATCH(A178,Spots!$A$2:$A$96,0)),"")="","",IFERROR(INDEX(Spots!$K$2:$K$96,MATCH(A178,Spots!$A$2:$A$96,0)),""))</f>
        <v/>
      </c>
      <c r="L178" s="3">
        <f>IF(OR(K178="",F178=""),"",F178/1000*K178*100)</f>
        <v/>
      </c>
      <c r="M178">
        <f>IF(OR(L178="",L178=0),"",ROUND(100/L178,0))</f>
        <v/>
      </c>
      <c r="N178" t="inlineStr"/>
    </row>
    <row r="179">
      <c r="A179" t="n">
        <v>12</v>
      </c>
      <c r="B179" t="inlineStr">
        <is>
          <t>Biraghi Den</t>
        </is>
      </c>
      <c r="C179" t="inlineStr">
        <is>
          <t>Narc's Lightning</t>
        </is>
      </c>
      <c r="D179" t="n">
        <v>3.985563</v>
      </c>
      <c r="E179" t="n">
        <v>6695.3</v>
      </c>
      <c r="F179" s="3" t="n">
        <v>0.5952777321404568</v>
      </c>
      <c r="G179" t="n">
        <v>1680</v>
      </c>
      <c r="H179" s="3" t="n">
        <v>0.5498413812515003</v>
      </c>
      <c r="I179" s="3" t="n">
        <v>0.6434671857928983</v>
      </c>
      <c r="J179" t="n">
        <v>634.2</v>
      </c>
      <c r="K179">
        <f>IF(IFERROR(INDEX(Spots!$K$2:$K$96,MATCH(A179,Spots!$A$2:$A$96,0)),"")="","",IFERROR(INDEX(Spots!$K$2:$K$96,MATCH(A179,Spots!$A$2:$A$96,0)),""))</f>
        <v/>
      </c>
      <c r="L179" s="3">
        <f>IF(OR(K179="",F179=""),"",F179/1000*K179*100)</f>
        <v/>
      </c>
      <c r="M179">
        <f>IF(OR(L179="",L179=0),"",ROUND(100/L179,0))</f>
        <v/>
      </c>
      <c r="N179" t="inlineStr"/>
    </row>
    <row r="180">
      <c r="A180" t="n">
        <v>12</v>
      </c>
      <c r="B180" t="inlineStr">
        <is>
          <t>Biraghi Den</t>
        </is>
      </c>
      <c r="C180" t="inlineStr">
        <is>
          <t>Shard of the Drained Night</t>
        </is>
      </c>
      <c r="D180" t="n">
        <v>3.343206</v>
      </c>
      <c r="E180" t="n">
        <v>6695.3</v>
      </c>
      <c r="F180" s="3" t="n">
        <v>0.4993362508028019</v>
      </c>
      <c r="G180" t="n">
        <v>2003</v>
      </c>
      <c r="H180" s="3" t="n">
        <v>0.4577979622630062</v>
      </c>
      <c r="I180" s="3" t="n">
        <v>0.5436309346059599</v>
      </c>
      <c r="J180" t="n">
        <v>532</v>
      </c>
      <c r="K180">
        <f>IF(IFERROR(INDEX(Spots!$K$2:$K$96,MATCH(A180,Spots!$A$2:$A$96,0)),"")="","",IFERROR(INDEX(Spots!$K$2:$K$96,MATCH(A180,Spots!$A$2:$A$96,0)),""))</f>
        <v/>
      </c>
      <c r="L180" s="3">
        <f>IF(OR(K180="",F180=""),"",F180/1000*K180*100)</f>
        <v/>
      </c>
      <c r="M180">
        <f>IF(OR(L180="",L180=0),"",ROUND(100/L180,0))</f>
        <v/>
      </c>
      <c r="N180" t="inlineStr"/>
    </row>
    <row r="181">
      <c r="A181" t="n">
        <v>12</v>
      </c>
      <c r="B181" t="inlineStr">
        <is>
          <t>Biraghi Den</t>
        </is>
      </c>
      <c r="C181" t="inlineStr">
        <is>
          <t>Sealed Black Magic Crystal</t>
        </is>
      </c>
      <c r="D181" t="n">
        <v>2.405257</v>
      </c>
      <c r="E181" t="n">
        <v>6695.3</v>
      </c>
      <c r="F181" s="3" t="n">
        <v>0.3592455901901334</v>
      </c>
      <c r="G181" t="n">
        <v>2784</v>
      </c>
      <c r="H181" s="3" t="n">
        <v>0.3241497128783771</v>
      </c>
      <c r="I181" s="3" t="n">
        <v>0.3971048479719453</v>
      </c>
      <c r="J181" t="n">
        <v>382.7</v>
      </c>
      <c r="K181">
        <f>IF(IFERROR(INDEX(Spots!$K$2:$K$96,MATCH(A181,Spots!$A$2:$A$96,0)),"")="","",IFERROR(INDEX(Spots!$K$2:$K$96,MATCH(A181,Spots!$A$2:$A$96,0)),""))</f>
        <v/>
      </c>
      <c r="L181" s="3">
        <f>IF(OR(K181="",F181=""),"",F181/1000*K181*100)</f>
        <v/>
      </c>
      <c r="M181">
        <f>IF(OR(L181="",L181=0),"",ROUND(100/L181,0))</f>
        <v/>
      </c>
      <c r="N181" t="inlineStr"/>
    </row>
    <row r="182">
      <c r="A182" t="n">
        <v>12</v>
      </c>
      <c r="B182" t="inlineStr">
        <is>
          <t>Biraghi Den</t>
        </is>
      </c>
      <c r="C182" t="inlineStr">
        <is>
          <t>Mass of Pure Magic</t>
        </is>
      </c>
      <c r="D182" t="n">
        <v>1.93024</v>
      </c>
      <c r="E182" t="n">
        <v>6695.3</v>
      </c>
      <c r="F182" s="3" t="n">
        <v>0.2882977611160067</v>
      </c>
      <c r="G182" t="n">
        <v>3469</v>
      </c>
      <c r="H182" s="3" t="n">
        <v>0.2569520567318346</v>
      </c>
      <c r="I182" s="3" t="n">
        <v>0.322412179083706</v>
      </c>
      <c r="J182" t="n">
        <v>307.1</v>
      </c>
      <c r="K182">
        <f>IF(IFERROR(INDEX(Spots!$K$2:$K$96,MATCH(A182,Spots!$A$2:$A$96,0)),"")="","",IFERROR(INDEX(Spots!$K$2:$K$96,MATCH(A182,Spots!$A$2:$A$96,0)),""))</f>
        <v/>
      </c>
      <c r="L182" s="3">
        <f>IF(OR(K182="",F182=""),"",F182/1000*K182*100)</f>
        <v/>
      </c>
      <c r="M182">
        <f>IF(OR(L182="",L182=0),"",ROUND(100/L182,0))</f>
        <v/>
      </c>
      <c r="N182" t="inlineStr"/>
    </row>
    <row r="183">
      <c r="A183" t="n">
        <v>12</v>
      </c>
      <c r="B183" t="inlineStr">
        <is>
          <t>Biraghi Den</t>
        </is>
      </c>
      <c r="C183" t="inlineStr">
        <is>
          <t>Seed of Void</t>
        </is>
      </c>
      <c r="D183" t="n">
        <v>1.062359</v>
      </c>
      <c r="E183" t="n">
        <v>6695.3</v>
      </c>
      <c r="F183" s="3" t="n">
        <v>0.1586723522470987</v>
      </c>
      <c r="G183" t="n">
        <v>6302</v>
      </c>
      <c r="H183" s="3" t="n">
        <v>0.1356520335610608</v>
      </c>
      <c r="I183" s="3" t="n">
        <v>0.1844790825376708</v>
      </c>
      <c r="J183" t="n">
        <v>169</v>
      </c>
      <c r="K183">
        <f>IF(IFERROR(INDEX(Spots!$K$2:$K$96,MATCH(A183,Spots!$A$2:$A$96,0)),"")="","",IFERROR(INDEX(Spots!$K$2:$K$96,MATCH(A183,Spots!$A$2:$A$96,0)),""))</f>
        <v/>
      </c>
      <c r="L183" s="3">
        <f>IF(OR(K183="",F183=""),"",F183/1000*K183*100)</f>
        <v/>
      </c>
      <c r="M183">
        <f>IF(OR(L183="",L183=0),"",ROUND(100/L183,0))</f>
        <v/>
      </c>
      <c r="N183" t="inlineStr"/>
    </row>
    <row r="184">
      <c r="A184" t="n">
        <v>12</v>
      </c>
      <c r="B184" t="inlineStr">
        <is>
          <t>Biraghi Den</t>
        </is>
      </c>
      <c r="C184" t="inlineStr">
        <is>
          <t>Glimmering Treasure Key</t>
        </is>
      </c>
      <c r="D184" t="n">
        <v>0.39101984</v>
      </c>
      <c r="E184" t="n">
        <v>6695.3</v>
      </c>
      <c r="F184" s="3" t="n">
        <v>0.05840213881379475</v>
      </c>
      <c r="G184" t="n">
        <v>17123</v>
      </c>
      <c r="H184" s="3" t="n">
        <v>0.04479625045951565</v>
      </c>
      <c r="I184" s="3" t="n">
        <v>0.07483807568813275</v>
      </c>
      <c r="J184" t="n">
        <v>62.2</v>
      </c>
      <c r="K184">
        <f>IF(IFERROR(INDEX(Spots!$K$2:$K$96,MATCH(A184,Spots!$A$2:$A$96,0)),"")="","",IFERROR(INDEX(Spots!$K$2:$K$96,MATCH(A184,Spots!$A$2:$A$96,0)),""))</f>
        <v/>
      </c>
      <c r="L184" s="3">
        <f>IF(OR(K184="",F184=""),"",F184/1000*K184*100)</f>
        <v/>
      </c>
      <c r="M184">
        <f>IF(OR(L184="",L184=0),"",ROUND(100/L184,0))</f>
        <v/>
      </c>
      <c r="N184" t="inlineStr"/>
    </row>
    <row r="185">
      <c r="A185" t="n">
        <v>12</v>
      </c>
      <c r="B185" t="inlineStr">
        <is>
          <t>Biraghi Den</t>
        </is>
      </c>
      <c r="C185" t="inlineStr">
        <is>
          <t>Revived Lunar Necklace</t>
        </is>
      </c>
      <c r="D185" t="n">
        <v>0.10575719</v>
      </c>
      <c r="E185" t="n">
        <v>6695.3</v>
      </c>
      <c r="F185" s="3" t="n">
        <v>0.01579573581467597</v>
      </c>
      <c r="G185" t="n">
        <v>63308</v>
      </c>
      <c r="H185" s="3" t="n">
        <v>0.009167342717089504</v>
      </c>
      <c r="I185" s="3" t="n">
        <v>0.02535160733323782</v>
      </c>
      <c r="J185" t="n">
        <v>16.8</v>
      </c>
      <c r="K185">
        <f>IF(IFERROR(INDEX(Spots!$K$2:$K$96,MATCH(A185,Spots!$A$2:$A$96,0)),"")="","",IFERROR(INDEX(Spots!$K$2:$K$96,MATCH(A185,Spots!$A$2:$A$96,0)),""))</f>
        <v/>
      </c>
      <c r="L185" s="3">
        <f>IF(OR(K185="",F185=""),"",F185/1000*K185*100)</f>
        <v/>
      </c>
      <c r="M185">
        <f>IF(OR(L185="",L185=0),"",ROUND(100/L185,0))</f>
        <v/>
      </c>
      <c r="N185" t="inlineStr">
        <is>
          <t>low sample</t>
        </is>
      </c>
    </row>
    <row r="186">
      <c r="A186" t="n">
        <v>12</v>
      </c>
      <c r="B186" t="inlineStr">
        <is>
          <t>Biraghi Den</t>
        </is>
      </c>
      <c r="C186" t="inlineStr">
        <is>
          <t>Burning Valtarra's Jordun</t>
        </is>
      </c>
      <c r="D186" t="n">
        <v>0.09965164</v>
      </c>
      <c r="E186" t="n">
        <v>6695.3</v>
      </c>
      <c r="F186" s="3" t="n">
        <v>0.01488381999312951</v>
      </c>
      <c r="G186" t="n">
        <v>67187</v>
      </c>
      <c r="H186" s="3" t="n">
        <v>0.008477211667021376</v>
      </c>
      <c r="I186" s="3" t="n">
        <v>0.02422378649319123</v>
      </c>
      <c r="J186" t="n">
        <v>15.9</v>
      </c>
      <c r="K186">
        <f>IF(IFERROR(INDEX(Spots!$K$2:$K$96,MATCH(A186,Spots!$A$2:$A$96,0)),"")="","",IFERROR(INDEX(Spots!$K$2:$K$96,MATCH(A186,Spots!$A$2:$A$96,0)),""))</f>
        <v/>
      </c>
      <c r="L186" s="3">
        <f>IF(OR(K186="",F186=""),"",F186/1000*K186*100)</f>
        <v/>
      </c>
      <c r="M186">
        <f>IF(OR(L186="",L186=0),"",ROUND(100/L186,0))</f>
        <v/>
      </c>
      <c r="N186" t="inlineStr">
        <is>
          <t>low sample</t>
        </is>
      </c>
    </row>
    <row r="187">
      <c r="A187" t="n">
        <v>12</v>
      </c>
      <c r="B187" t="inlineStr">
        <is>
          <t>Biraghi Den</t>
        </is>
      </c>
      <c r="C187" t="inlineStr">
        <is>
          <t>Sparkling Treasure Key</t>
        </is>
      </c>
      <c r="D187" t="n">
        <v>0.05053446</v>
      </c>
      <c r="E187" t="n">
        <v>6695.3</v>
      </c>
      <c r="F187" s="3" t="n">
        <v>0.007547751407703912</v>
      </c>
      <c r="G187" t="n">
        <v>132490</v>
      </c>
      <c r="H187" s="3" t="n">
        <v>0.003258412740447909</v>
      </c>
      <c r="I187" s="3" t="n">
        <v>0.01484843014751305</v>
      </c>
      <c r="J187" t="n">
        <v>8</v>
      </c>
      <c r="K187">
        <f>IF(IFERROR(INDEX(Spots!$K$2:$K$96,MATCH(A187,Spots!$A$2:$A$96,0)),"")="","",IFERROR(INDEX(Spots!$K$2:$K$96,MATCH(A187,Spots!$A$2:$A$96,0)),""))</f>
        <v/>
      </c>
      <c r="L187" s="3">
        <f>IF(OR(K187="",F187=""),"",F187/1000*K187*100)</f>
        <v/>
      </c>
      <c r="M187">
        <f>IF(OR(L187="",L187=0),"",ROUND(100/L187,0))</f>
        <v/>
      </c>
      <c r="N187" t="inlineStr">
        <is>
          <t>low sample</t>
        </is>
      </c>
    </row>
    <row r="188">
      <c r="A188" t="n">
        <v>12</v>
      </c>
      <c r="B188" t="inlineStr">
        <is>
          <t>Biraghi Den</t>
        </is>
      </c>
      <c r="C188" t="inlineStr">
        <is>
          <t>Dazzling Treasure Key</t>
        </is>
      </c>
      <c r="D188" t="n">
        <v>0.02012533</v>
      </c>
      <c r="E188" t="n">
        <v>6695.3</v>
      </c>
      <c r="F188" s="3" t="n">
        <v>0.003005889205860828</v>
      </c>
      <c r="G188" t="n">
        <v>332680</v>
      </c>
      <c r="H188" s="3" t="n">
        <v>0.0006499468788496614</v>
      </c>
      <c r="I188" s="3" t="n">
        <v>0.008512469388055758</v>
      </c>
      <c r="J188" t="n">
        <v>3.2</v>
      </c>
      <c r="K188">
        <f>IF(IFERROR(INDEX(Spots!$K$2:$K$96,MATCH(A188,Spots!$A$2:$A$96,0)),"")="","",IFERROR(INDEX(Spots!$K$2:$K$96,MATCH(A188,Spots!$A$2:$A$96,0)),""))</f>
        <v/>
      </c>
      <c r="L188" s="3">
        <f>IF(OR(K188="",F188=""),"",F188/1000*K188*100)</f>
        <v/>
      </c>
      <c r="M188">
        <f>IF(OR(L188="",L188=0),"",ROUND(100/L188,0))</f>
        <v/>
      </c>
      <c r="N188" t="inlineStr">
        <is>
          <t>low sample</t>
        </is>
      </c>
    </row>
    <row r="189">
      <c r="A189" t="n">
        <v>22</v>
      </c>
      <c r="B189" t="inlineStr">
        <is>
          <t>Blood Wolf Settlement</t>
        </is>
      </c>
      <c r="C189" t="inlineStr">
        <is>
          <t>Blood Wolf Tooth</t>
        </is>
      </c>
      <c r="D189" t="n">
        <v>624.52</v>
      </c>
      <c r="E189" t="n">
        <v>5007.6</v>
      </c>
      <c r="F189" s="3" t="n">
        <v>124.7144340602284</v>
      </c>
      <c r="G189" t="n">
        <v>8</v>
      </c>
      <c r="H189" s="3" t="n">
        <v>124.1755266921874</v>
      </c>
      <c r="I189" s="3" t="n">
        <v>125.255101009949</v>
      </c>
      <c r="J189" t="n">
        <v>205300.5</v>
      </c>
      <c r="K189">
        <f>IF(IFERROR(INDEX(Spots!$K$2:$K$96,MATCH(A189,Spots!$A$2:$A$96,0)),"")="","",IFERROR(INDEX(Spots!$K$2:$K$96,MATCH(A189,Spots!$A$2:$A$96,0)),""))</f>
        <v/>
      </c>
      <c r="L189" s="3">
        <f>IF(OR(K189="",F189=""),"",F189/1000*K189*100)</f>
        <v/>
      </c>
      <c r="M189">
        <f>IF(OR(L189="",L189=0),"",ROUND(100/L189,0))</f>
        <v/>
      </c>
      <c r="N189" t="inlineStr"/>
    </row>
    <row r="190">
      <c r="A190" t="n">
        <v>22</v>
      </c>
      <c r="B190" t="inlineStr">
        <is>
          <t>Blood Wolf Settlement</t>
        </is>
      </c>
      <c r="C190" t="inlineStr">
        <is>
          <t>Trace of Nature</t>
        </is>
      </c>
      <c r="D190" t="n">
        <v>40.518</v>
      </c>
      <c r="E190" t="n">
        <v>5007.6</v>
      </c>
      <c r="F190" s="3" t="n">
        <v>8.091301222142343</v>
      </c>
      <c r="G190" t="n">
        <v>124</v>
      </c>
      <c r="H190" s="3" t="n">
        <v>7.954464203436921</v>
      </c>
      <c r="I190" s="3" t="n">
        <v>8.229901657902792</v>
      </c>
      <c r="J190" t="n">
        <v>13319.6</v>
      </c>
      <c r="K190">
        <f>IF(IFERROR(INDEX(Spots!$K$2:$K$96,MATCH(A190,Spots!$A$2:$A$96,0)),"")="","",IFERROR(INDEX(Spots!$K$2:$K$96,MATCH(A190,Spots!$A$2:$A$96,0)),""))</f>
        <v/>
      </c>
      <c r="L190" s="3">
        <f>IF(OR(K190="",F190=""),"",F190/1000*K190*100)</f>
        <v/>
      </c>
      <c r="M190">
        <f>IF(OR(L190="",L190=0),"",ROUND(100/L190,0))</f>
        <v/>
      </c>
      <c r="N190" t="inlineStr"/>
    </row>
    <row r="191">
      <c r="A191" t="n">
        <v>22</v>
      </c>
      <c r="B191" t="inlineStr">
        <is>
          <t>Blood Wolf Settlement</t>
        </is>
      </c>
      <c r="C191" t="inlineStr">
        <is>
          <t>Black Stone</t>
        </is>
      </c>
      <c r="D191" t="n">
        <v>14.741</v>
      </c>
      <c r="E191" t="n">
        <v>5007.6</v>
      </c>
      <c r="F191" s="3" t="n">
        <v>2.943725537183481</v>
      </c>
      <c r="G191" t="n">
        <v>340</v>
      </c>
      <c r="H191" s="3" t="n">
        <v>2.861418796879747</v>
      </c>
      <c r="I191" s="3" t="n">
        <v>3.027799071214052</v>
      </c>
      <c r="J191" t="n">
        <v>4845.9</v>
      </c>
      <c r="K191">
        <f>IF(IFERROR(INDEX(Spots!$K$2:$K$96,MATCH(A191,Spots!$A$2:$A$96,0)),"")="","",IFERROR(INDEX(Spots!$K$2:$K$96,MATCH(A191,Spots!$A$2:$A$96,0)),""))</f>
        <v/>
      </c>
      <c r="L191" s="3">
        <f>IF(OR(K191="",F191=""),"",F191/1000*K191*100)</f>
        <v/>
      </c>
      <c r="M191">
        <f>IF(OR(L191="",L191=0),"",ROUND(100/L191,0))</f>
        <v/>
      </c>
      <c r="N191" t="inlineStr"/>
    </row>
    <row r="192">
      <c r="A192" t="n">
        <v>22</v>
      </c>
      <c r="B192" t="inlineStr">
        <is>
          <t>Blood Wolf Settlement</t>
        </is>
      </c>
      <c r="C192" t="inlineStr">
        <is>
          <t>Ancient Spirit Dust</t>
        </is>
      </c>
      <c r="D192" t="n">
        <v>10.628</v>
      </c>
      <c r="E192" t="n">
        <v>5007.6</v>
      </c>
      <c r="F192" s="3" t="n">
        <v>2.12237399153287</v>
      </c>
      <c r="G192" t="n">
        <v>471</v>
      </c>
      <c r="H192" s="3" t="n">
        <v>2.052574047562155</v>
      </c>
      <c r="I192" s="3" t="n">
        <v>2.193942238590582</v>
      </c>
      <c r="J192" t="n">
        <v>3493.8</v>
      </c>
      <c r="K192">
        <f>IF(IFERROR(INDEX(Spots!$K$2:$K$96,MATCH(A192,Spots!$A$2:$A$96,0)),"")="","",IFERROR(INDEX(Spots!$K$2:$K$96,MATCH(A192,Spots!$A$2:$A$96,0)),""))</f>
        <v/>
      </c>
      <c r="L192" s="3">
        <f>IF(OR(K192="",F192=""),"",F192/1000*K192*100)</f>
        <v/>
      </c>
      <c r="M192">
        <f>IF(OR(L192="",L192=0),"",ROUND(100/L192,0))</f>
        <v/>
      </c>
      <c r="N192" t="inlineStr"/>
    </row>
    <row r="193">
      <c r="A193" t="n">
        <v>22</v>
      </c>
      <c r="B193" t="inlineStr">
        <is>
          <t>Blood Wolf Settlement</t>
        </is>
      </c>
      <c r="C193" t="inlineStr">
        <is>
          <t>Dragon Scale Fossil</t>
        </is>
      </c>
      <c r="D193" t="n">
        <v>7.515333</v>
      </c>
      <c r="E193" t="n">
        <v>5007.6</v>
      </c>
      <c r="F193" s="3" t="n">
        <v>1.500785406182602</v>
      </c>
      <c r="G193" t="n">
        <v>666</v>
      </c>
      <c r="H193" s="3" t="n">
        <v>1.442182185840557</v>
      </c>
      <c r="I193" s="3" t="n">
        <v>1.561158819610674</v>
      </c>
      <c r="J193" t="n">
        <v>2470.5</v>
      </c>
      <c r="K193">
        <f>IF(IFERROR(INDEX(Spots!$K$2:$K$96,MATCH(A193,Spots!$A$2:$A$96,0)),"")="","",IFERROR(INDEX(Spots!$K$2:$K$96,MATCH(A193,Spots!$A$2:$A$96,0)),""))</f>
        <v/>
      </c>
      <c r="L193" s="3">
        <f>IF(OR(K193="",F193=""),"",F193/1000*K193*100)</f>
        <v/>
      </c>
      <c r="M193">
        <f>IF(OR(L193="",L193=0),"",ROUND(100/L193,0))</f>
        <v/>
      </c>
      <c r="N193" t="inlineStr"/>
    </row>
    <row r="194">
      <c r="A194" t="n">
        <v>22</v>
      </c>
      <c r="B194" t="inlineStr">
        <is>
          <t>Blood Wolf Settlement</t>
        </is>
      </c>
      <c r="C194" t="inlineStr">
        <is>
          <t>Caphras Stone</t>
        </is>
      </c>
      <c r="D194" t="n">
        <v>6.341226</v>
      </c>
      <c r="E194" t="n">
        <v>5007.6</v>
      </c>
      <c r="F194" s="3" t="n">
        <v>1.266320393002636</v>
      </c>
      <c r="G194" t="n">
        <v>790</v>
      </c>
      <c r="H194" s="3" t="n">
        <v>1.212536375754614</v>
      </c>
      <c r="I194" s="3" t="n">
        <v>1.321875655277504</v>
      </c>
      <c r="J194" t="n">
        <v>2084.6</v>
      </c>
      <c r="K194">
        <f>IF(IFERROR(INDEX(Spots!$K$2:$K$96,MATCH(A194,Spots!$A$2:$A$96,0)),"")="","",IFERROR(INDEX(Spots!$K$2:$K$96,MATCH(A194,Spots!$A$2:$A$96,0)),""))</f>
        <v/>
      </c>
      <c r="L194" s="3">
        <f>IF(OR(K194="",F194=""),"",F194/1000*K194*100)</f>
        <v/>
      </c>
      <c r="M194">
        <f>IF(OR(L194="",L194=0),"",ROUND(100/L194,0))</f>
        <v/>
      </c>
      <c r="N194" t="inlineStr"/>
    </row>
    <row r="195">
      <c r="A195" t="n">
        <v>22</v>
      </c>
      <c r="B195" t="inlineStr">
        <is>
          <t>Blood Wolf Settlement</t>
        </is>
      </c>
      <c r="C195" t="inlineStr">
        <is>
          <t>Garmoth's Scale</t>
        </is>
      </c>
      <c r="D195" t="n">
        <v>1.646746</v>
      </c>
      <c r="E195" t="n">
        <v>5007.6</v>
      </c>
      <c r="F195" s="3" t="n">
        <v>0.3288493489895359</v>
      </c>
      <c r="G195" t="n">
        <v>3041</v>
      </c>
      <c r="H195" s="3" t="n">
        <v>0.301726287823343</v>
      </c>
      <c r="I195" s="3" t="n">
        <v>0.3577560214379853</v>
      </c>
      <c r="J195" t="n">
        <v>541.3</v>
      </c>
      <c r="K195">
        <f>IF(IFERROR(INDEX(Spots!$K$2:$K$96,MATCH(A195,Spots!$A$2:$A$96,0)),"")="","",IFERROR(INDEX(Spots!$K$2:$K$96,MATCH(A195,Spots!$A$2:$A$96,0)),""))</f>
        <v/>
      </c>
      <c r="L195" s="3">
        <f>IF(OR(K195="",F195=""),"",F195/1000*K195*100)</f>
        <v/>
      </c>
      <c r="M195">
        <f>IF(OR(L195="",L195=0),"",ROUND(100/L195,0))</f>
        <v/>
      </c>
      <c r="N195" t="inlineStr"/>
    </row>
    <row r="196">
      <c r="A196" t="n">
        <v>22</v>
      </c>
      <c r="B196" t="inlineStr">
        <is>
          <t>Blood Wolf Settlement</t>
        </is>
      </c>
      <c r="C196" t="inlineStr">
        <is>
          <t>Mass of Pure Magic</t>
        </is>
      </c>
      <c r="D196" t="n">
        <v>1.143804</v>
      </c>
      <c r="E196" t="n">
        <v>5007.6</v>
      </c>
      <c r="F196" s="3" t="n">
        <v>0.2284136113108076</v>
      </c>
      <c r="G196" t="n">
        <v>4378</v>
      </c>
      <c r="H196" s="3" t="n">
        <v>0.2059060615116071</v>
      </c>
      <c r="I196" s="3" t="n">
        <v>0.2527097772005837</v>
      </c>
      <c r="J196" t="n">
        <v>376</v>
      </c>
      <c r="K196">
        <f>IF(IFERROR(INDEX(Spots!$K$2:$K$96,MATCH(A196,Spots!$A$2:$A$96,0)),"")="","",IFERROR(INDEX(Spots!$K$2:$K$96,MATCH(A196,Spots!$A$2:$A$96,0)),""))</f>
        <v/>
      </c>
      <c r="L196" s="3">
        <f>IF(OR(K196="",F196=""),"",F196/1000*K196*100)</f>
        <v/>
      </c>
      <c r="M196">
        <f>IF(OR(L196="",L196=0),"",ROUND(100/L196,0))</f>
        <v/>
      </c>
      <c r="N196" t="inlineStr"/>
    </row>
    <row r="197">
      <c r="A197" t="n">
        <v>22</v>
      </c>
      <c r="B197" t="inlineStr">
        <is>
          <t>Blood Wolf Settlement</t>
        </is>
      </c>
      <c r="C197" t="inlineStr">
        <is>
          <t>Blood Wolf's Oath</t>
        </is>
      </c>
      <c r="D197" t="n">
        <v>1.035687</v>
      </c>
      <c r="E197" t="n">
        <v>5007.6</v>
      </c>
      <c r="F197" s="3" t="n">
        <v>0.2068230289959262</v>
      </c>
      <c r="G197" t="n">
        <v>4835</v>
      </c>
      <c r="H197" s="3" t="n">
        <v>0.1854339630893558</v>
      </c>
      <c r="I197" s="3" t="n">
        <v>0.230002236062376</v>
      </c>
      <c r="J197" t="n">
        <v>340.5</v>
      </c>
      <c r="K197">
        <f>IF(IFERROR(INDEX(Spots!$K$2:$K$96,MATCH(A197,Spots!$A$2:$A$96,0)),"")="","",IFERROR(INDEX(Spots!$K$2:$K$96,MATCH(A197,Spots!$A$2:$A$96,0)),""))</f>
        <v/>
      </c>
      <c r="L197" s="3">
        <f>IF(OR(K197="",F197=""),"",F197/1000*K197*100)</f>
        <v/>
      </c>
      <c r="M197">
        <f>IF(OR(L197="",L197=0),"",ROUND(100/L197,0))</f>
        <v/>
      </c>
      <c r="N197" t="inlineStr"/>
    </row>
    <row r="198">
      <c r="A198" t="n">
        <v>22</v>
      </c>
      <c r="B198" t="inlineStr">
        <is>
          <t>Blood Wolf Settlement</t>
        </is>
      </c>
      <c r="C198" t="inlineStr">
        <is>
          <t>Kagtum Submission Ring</t>
        </is>
      </c>
      <c r="D198" t="n">
        <v>0.76685285</v>
      </c>
      <c r="E198" t="n">
        <v>5007.6</v>
      </c>
      <c r="F198" s="3" t="n">
        <v>0.1531378005431744</v>
      </c>
      <c r="G198" t="n">
        <v>6530</v>
      </c>
      <c r="H198" s="3" t="n">
        <v>0.1348146365801903</v>
      </c>
      <c r="I198" s="3" t="n">
        <v>0.1732561965234172</v>
      </c>
      <c r="J198" t="n">
        <v>252.1</v>
      </c>
      <c r="K198">
        <f>IF(IFERROR(INDEX(Spots!$K$2:$K$96,MATCH(A198,Spots!$A$2:$A$96,0)),"")="","",IFERROR(INDEX(Spots!$K$2:$K$96,MATCH(A198,Spots!$A$2:$A$96,0)),""))</f>
        <v/>
      </c>
      <c r="L198" s="3">
        <f>IF(OR(K198="",F198=""),"",F198/1000*K198*100)</f>
        <v/>
      </c>
      <c r="M198">
        <f>IF(OR(L198="",L198=0),"",ROUND(100/L198,0))</f>
        <v/>
      </c>
      <c r="N198" t="inlineStr"/>
    </row>
    <row r="199">
      <c r="A199" t="n">
        <v>22</v>
      </c>
      <c r="B199" t="inlineStr">
        <is>
          <t>Blood Wolf Settlement</t>
        </is>
      </c>
      <c r="C199" t="inlineStr">
        <is>
          <t>Seleth Main Weapon Box</t>
        </is>
      </c>
      <c r="D199" t="n">
        <v>0.76233765</v>
      </c>
      <c r="E199" t="n">
        <v>5007.6</v>
      </c>
      <c r="F199" s="3" t="n">
        <v>0.1522361310807572</v>
      </c>
      <c r="G199" t="n">
        <v>6569</v>
      </c>
      <c r="H199" s="3" t="n">
        <v>0.133968719366543</v>
      </c>
      <c r="I199" s="3" t="n">
        <v>0.1722988824695786</v>
      </c>
      <c r="J199" t="n">
        <v>250.6</v>
      </c>
      <c r="K199">
        <f>IF(IFERROR(INDEX(Spots!$K$2:$K$96,MATCH(A199,Spots!$A$2:$A$96,0)),"")="","",IFERROR(INDEX(Spots!$K$2:$K$96,MATCH(A199,Spots!$A$2:$A$96,0)),""))</f>
        <v/>
      </c>
      <c r="L199" s="3">
        <f>IF(OR(K199="",F199=""),"",F199/1000*K199*100)</f>
        <v/>
      </c>
      <c r="M199">
        <f>IF(OR(L199="",L199=0),"",ROUND(100/L199,0))</f>
        <v/>
      </c>
      <c r="N199" t="inlineStr"/>
    </row>
    <row r="200">
      <c r="A200" t="n">
        <v>22</v>
      </c>
      <c r="B200" t="inlineStr">
        <is>
          <t>Blood Wolf Settlement</t>
        </is>
      </c>
      <c r="C200" t="inlineStr">
        <is>
          <t>Kalis Main Weapon Box</t>
        </is>
      </c>
      <c r="D200" t="n">
        <v>0.63635785</v>
      </c>
      <c r="E200" t="n">
        <v>5007.6</v>
      </c>
      <c r="F200" s="3" t="n">
        <v>0.1270784108155603</v>
      </c>
      <c r="G200" t="n">
        <v>7869</v>
      </c>
      <c r="H200" s="3" t="n">
        <v>0.1104392017924299</v>
      </c>
      <c r="I200" s="3" t="n">
        <v>0.1455164054508638</v>
      </c>
      <c r="J200" t="n">
        <v>209.2</v>
      </c>
      <c r="K200">
        <f>IF(IFERROR(INDEX(Spots!$K$2:$K$96,MATCH(A200,Spots!$A$2:$A$96,0)),"")="","",IFERROR(INDEX(Spots!$K$2:$K$96,MATCH(A200,Spots!$A$2:$A$96,0)),""))</f>
        <v/>
      </c>
      <c r="L200" s="3">
        <f>IF(OR(K200="",F200=""),"",F200/1000*K200*100)</f>
        <v/>
      </c>
      <c r="M200">
        <f>IF(OR(L200="",L200=0),"",ROUND(100/L200,0))</f>
        <v/>
      </c>
      <c r="N200" t="inlineStr"/>
    </row>
    <row r="201">
      <c r="A201" t="n">
        <v>22</v>
      </c>
      <c r="B201" t="inlineStr">
        <is>
          <t>Blood Wolf Settlement</t>
        </is>
      </c>
      <c r="C201" t="inlineStr">
        <is>
          <t>Akum Armor</t>
        </is>
      </c>
      <c r="D201" t="n">
        <v>0.55350324</v>
      </c>
      <c r="E201" t="n">
        <v>5007.6</v>
      </c>
      <c r="F201" s="3" t="n">
        <v>0.1105326383896477</v>
      </c>
      <c r="G201" t="n">
        <v>9047</v>
      </c>
      <c r="H201" s="3" t="n">
        <v>0.09505402837792834</v>
      </c>
      <c r="I201" s="3" t="n">
        <v>0.1278129084844002</v>
      </c>
      <c r="J201" t="n">
        <v>182</v>
      </c>
      <c r="K201">
        <f>IF(IFERROR(INDEX(Spots!$K$2:$K$96,MATCH(A201,Spots!$A$2:$A$96,0)),"")="","",IFERROR(INDEX(Spots!$K$2:$K$96,MATCH(A201,Spots!$A$2:$A$96,0)),""))</f>
        <v/>
      </c>
      <c r="L201" s="3">
        <f>IF(OR(K201="",F201=""),"",F201/1000*K201*100)</f>
        <v/>
      </c>
      <c r="M201">
        <f>IF(OR(L201="",L201=0),"",ROUND(100/L201,0))</f>
        <v/>
      </c>
      <c r="N201" t="inlineStr"/>
    </row>
    <row r="202">
      <c r="A202" t="n">
        <v>22</v>
      </c>
      <c r="B202" t="inlineStr">
        <is>
          <t>Blood Wolf Settlement</t>
        </is>
      </c>
      <c r="C202" t="inlineStr">
        <is>
          <t>Imperfect Lightstone of Fire</t>
        </is>
      </c>
      <c r="D202" t="n">
        <v>0.49071388</v>
      </c>
      <c r="E202" t="n">
        <v>5007.6</v>
      </c>
      <c r="F202" s="3" t="n">
        <v>0.09799382538541417</v>
      </c>
      <c r="G202" t="n">
        <v>10205</v>
      </c>
      <c r="H202" s="3" t="n">
        <v>0.08345398281817104</v>
      </c>
      <c r="I202" s="3" t="n">
        <v>0.1143379690739811</v>
      </c>
      <c r="J202" t="n">
        <v>161.3</v>
      </c>
      <c r="K202">
        <f>IF(IFERROR(INDEX(Spots!$K$2:$K$96,MATCH(A202,Spots!$A$2:$A$96,0)),"")="","",IFERROR(INDEX(Spots!$K$2:$K$96,MATCH(A202,Spots!$A$2:$A$96,0)),""))</f>
        <v/>
      </c>
      <c r="L202" s="3">
        <f>IF(OR(K202="",F202=""),"",F202/1000*K202*100)</f>
        <v/>
      </c>
      <c r="M202">
        <f>IF(OR(L202="",L202=0),"",ROUND(100/L202,0))</f>
        <v/>
      </c>
      <c r="N202" t="inlineStr"/>
    </row>
    <row r="203">
      <c r="A203" t="n">
        <v>22</v>
      </c>
      <c r="B203" t="inlineStr">
        <is>
          <t>Blood Wolf Settlement</t>
        </is>
      </c>
      <c r="C203" t="inlineStr">
        <is>
          <t>Eye of the Ruins Ring</t>
        </is>
      </c>
      <c r="D203" t="n">
        <v>0.232131</v>
      </c>
      <c r="E203" t="n">
        <v>5007.6</v>
      </c>
      <c r="F203" s="3" t="n">
        <v>0.04635573927630002</v>
      </c>
      <c r="G203" t="n">
        <v>21572</v>
      </c>
      <c r="H203" s="3" t="n">
        <v>0.03654026785594088</v>
      </c>
      <c r="I203" s="3" t="n">
        <v>0.05799581223958946</v>
      </c>
      <c r="J203" t="n">
        <v>76.3</v>
      </c>
      <c r="K203">
        <f>IF(IFERROR(INDEX(Spots!$K$2:$K$96,MATCH(A203,Spots!$A$2:$A$96,0)),"")="","",IFERROR(INDEX(Spots!$K$2:$K$96,MATCH(A203,Spots!$A$2:$A$96,0)),""))</f>
        <v/>
      </c>
      <c r="L203" s="3">
        <f>IF(OR(K203="",F203=""),"",F203/1000*K203*100)</f>
        <v/>
      </c>
      <c r="M203">
        <f>IF(OR(L203="",L203=0),"",ROUND(100/L203,0))</f>
        <v/>
      </c>
      <c r="N203" t="inlineStr"/>
    </row>
    <row r="204">
      <c r="A204" t="n">
        <v>22</v>
      </c>
      <c r="B204" t="inlineStr">
        <is>
          <t>Blood Wolf Settlement</t>
        </is>
      </c>
      <c r="C204" t="inlineStr">
        <is>
          <t>Kagtunak</t>
        </is>
      </c>
      <c r="D204" t="n">
        <v>0.2004774</v>
      </c>
      <c r="E204" t="n">
        <v>5007.6</v>
      </c>
      <c r="F204" s="3" t="n">
        <v>0.04003462736640306</v>
      </c>
      <c r="G204" t="n">
        <v>24978</v>
      </c>
      <c r="H204" s="3" t="n">
        <v>0.03095496379711473</v>
      </c>
      <c r="I204" s="3" t="n">
        <v>0.05094377729724912</v>
      </c>
      <c r="J204" t="n">
        <v>65.90000000000001</v>
      </c>
      <c r="K204">
        <f>IF(IFERROR(INDEX(Spots!$K$2:$K$96,MATCH(A204,Spots!$A$2:$A$96,0)),"")="","",IFERROR(INDEX(Spots!$K$2:$K$96,MATCH(A204,Spots!$A$2:$A$96,0)),""))</f>
        <v/>
      </c>
      <c r="L204" s="3">
        <f>IF(OR(K204="",F204=""),"",F204/1000*K204*100)</f>
        <v/>
      </c>
      <c r="M204">
        <f>IF(OR(L204="",L204=0),"",ROUND(100/L204,0))</f>
        <v/>
      </c>
      <c r="N204" t="inlineStr"/>
    </row>
    <row r="205">
      <c r="A205" t="n">
        <v>22</v>
      </c>
      <c r="B205" t="inlineStr">
        <is>
          <t>Blood Wolf Settlement</t>
        </is>
      </c>
      <c r="C205" t="inlineStr">
        <is>
          <t>Combined Magic Crystal - Hoom</t>
        </is>
      </c>
      <c r="D205" t="n">
        <v>0.1495081</v>
      </c>
      <c r="E205" t="n">
        <v>5007.6</v>
      </c>
      <c r="F205" s="3" t="n">
        <v>0.02985623851745347</v>
      </c>
      <c r="G205" t="n">
        <v>33494</v>
      </c>
      <c r="H205" s="3" t="n">
        <v>0.02209674417580997</v>
      </c>
      <c r="I205" s="3" t="n">
        <v>0.03945604981801511</v>
      </c>
      <c r="J205" t="n">
        <v>49.1</v>
      </c>
      <c r="K205">
        <f>IF(IFERROR(INDEX(Spots!$K$2:$K$96,MATCH(A205,Spots!$A$2:$A$96,0)),"")="","",IFERROR(INDEX(Spots!$K$2:$K$96,MATCH(A205,Spots!$A$2:$A$96,0)),""))</f>
        <v/>
      </c>
      <c r="L205" s="3">
        <f>IF(OR(K205="",F205=""),"",F205/1000*K205*100)</f>
        <v/>
      </c>
      <c r="M205">
        <f>IF(OR(L205="",L205=0),"",ROUND(100/L205,0))</f>
        <v/>
      </c>
      <c r="N205" t="inlineStr"/>
    </row>
    <row r="206">
      <c r="A206" t="n">
        <v>22</v>
      </c>
      <c r="B206" t="inlineStr">
        <is>
          <t>Blood Wolf Settlement</t>
        </is>
      </c>
      <c r="C206" t="inlineStr">
        <is>
          <t>Combined Magic Crystal - Gervish</t>
        </is>
      </c>
      <c r="D206" t="n">
        <v>0.13040863</v>
      </c>
      <c r="E206" t="n">
        <v>5007.6</v>
      </c>
      <c r="F206" s="3" t="n">
        <v>0.02604214194424475</v>
      </c>
      <c r="G206" t="n">
        <v>38399</v>
      </c>
      <c r="H206" s="3" t="n">
        <v>0.01883478579720622</v>
      </c>
      <c r="I206" s="3" t="n">
        <v>0.03509538148215433</v>
      </c>
      <c r="J206" t="n">
        <v>42.9</v>
      </c>
      <c r="K206">
        <f>IF(IFERROR(INDEX(Spots!$K$2:$K$96,MATCH(A206,Spots!$A$2:$A$96,0)),"")="","",IFERROR(INDEX(Spots!$K$2:$K$96,MATCH(A206,Spots!$A$2:$A$96,0)),""))</f>
        <v/>
      </c>
      <c r="L206" s="3">
        <f>IF(OR(K206="",F206=""),"",F206/1000*K206*100)</f>
        <v/>
      </c>
      <c r="M206">
        <f>IF(OR(L206="",L206=0),"",ROUND(100/L206,0))</f>
        <v/>
      </c>
      <c r="N206" t="inlineStr"/>
    </row>
    <row r="207">
      <c r="A207" t="n">
        <v>22</v>
      </c>
      <c r="B207" t="inlineStr">
        <is>
          <t>Blood Wolf Settlement</t>
        </is>
      </c>
      <c r="C207" t="inlineStr">
        <is>
          <t>Imperfect Lightstone of Earth</t>
        </is>
      </c>
      <c r="D207" t="n">
        <v>0.08041769999999999</v>
      </c>
      <c r="E207" t="n">
        <v>5007.6</v>
      </c>
      <c r="F207" s="3" t="n">
        <v>0.01605913012221423</v>
      </c>
      <c r="G207" t="n">
        <v>62270</v>
      </c>
      <c r="H207" s="3" t="n">
        <v>0.01052869462085429</v>
      </c>
      <c r="I207" s="3" t="n">
        <v>0.02345812869473776</v>
      </c>
      <c r="J207" t="n">
        <v>26.4</v>
      </c>
      <c r="K207">
        <f>IF(IFERROR(INDEX(Spots!$K$2:$K$96,MATCH(A207,Spots!$A$2:$A$96,0)),"")="","",IFERROR(INDEX(Spots!$K$2:$K$96,MATCH(A207,Spots!$A$2:$A$96,0)),""))</f>
        <v/>
      </c>
      <c r="L207" s="3">
        <f>IF(OR(K207="",F207=""),"",F207/1000*K207*100)</f>
        <v/>
      </c>
      <c r="M207">
        <f>IF(OR(L207="",L207=0),"",ROUND(100/L207,0))</f>
        <v/>
      </c>
      <c r="N207" t="inlineStr">
        <is>
          <t>low sample</t>
        </is>
      </c>
    </row>
    <row r="208">
      <c r="A208" t="n">
        <v>22</v>
      </c>
      <c r="B208" t="inlineStr">
        <is>
          <t>Blood Wolf Settlement</t>
        </is>
      </c>
      <c r="C208" t="inlineStr">
        <is>
          <t>Any Artifact</t>
        </is>
      </c>
      <c r="D208" t="n">
        <v>0.07318241</v>
      </c>
      <c r="E208" t="n">
        <v>5007.6</v>
      </c>
      <c r="F208" s="3" t="n">
        <v>0.01461426831216551</v>
      </c>
      <c r="G208" t="n">
        <v>68426</v>
      </c>
      <c r="H208" s="3" t="n">
        <v>0.009366354500641232</v>
      </c>
      <c r="I208" s="3" t="n">
        <v>0.021735761348249</v>
      </c>
      <c r="J208" t="n">
        <v>24.1</v>
      </c>
      <c r="K208">
        <f>IF(IFERROR(INDEX(Spots!$K$2:$K$96,MATCH(A208,Spots!$A$2:$A$96,0)),"")="","",IFERROR(INDEX(Spots!$K$2:$K$96,MATCH(A208,Spots!$A$2:$A$96,0)),""))</f>
        <v/>
      </c>
      <c r="L208" s="3">
        <f>IF(OR(K208="",F208=""),"",F208/1000*K208*100)</f>
        <v/>
      </c>
      <c r="M208">
        <f>IF(OR(L208="",L208=0),"",ROUND(100/L208,0))</f>
        <v/>
      </c>
      <c r="N208" t="inlineStr">
        <is>
          <t>low sample</t>
        </is>
      </c>
    </row>
    <row r="209">
      <c r="A209" t="n">
        <v>22</v>
      </c>
      <c r="B209" t="inlineStr">
        <is>
          <t>Blood Wolf Settlement</t>
        </is>
      </c>
      <c r="C209" t="inlineStr">
        <is>
          <t>Imperfect Lightstone of Wind</t>
        </is>
      </c>
      <c r="D209" t="n">
        <v>0.06477284</v>
      </c>
      <c r="E209" t="n">
        <v>5007.6</v>
      </c>
      <c r="F209" s="3" t="n">
        <v>0.012934906941449</v>
      </c>
      <c r="G209" t="n">
        <v>77310</v>
      </c>
      <c r="H209" s="3" t="n">
        <v>0.008033621087762885</v>
      </c>
      <c r="I209" s="3" t="n">
        <v>0.0197165783675331</v>
      </c>
      <c r="J209" t="n">
        <v>21.3</v>
      </c>
      <c r="K209">
        <f>IF(IFERROR(INDEX(Spots!$K$2:$K$96,MATCH(A209,Spots!$A$2:$A$96,0)),"")="","",IFERROR(INDEX(Spots!$K$2:$K$96,MATCH(A209,Spots!$A$2:$A$96,0)),""))</f>
        <v/>
      </c>
      <c r="L209" s="3">
        <f>IF(OR(K209="",F209=""),"",F209/1000*K209*100)</f>
        <v/>
      </c>
      <c r="M209">
        <f>IF(OR(L209="",L209=0),"",ROUND(100/L209,0))</f>
        <v/>
      </c>
      <c r="N209" t="inlineStr">
        <is>
          <t>low sample</t>
        </is>
      </c>
    </row>
    <row r="210">
      <c r="A210" t="n">
        <v>22</v>
      </c>
      <c r="B210" t="inlineStr">
        <is>
          <t>Blood Wolf Settlement</t>
        </is>
      </c>
      <c r="C210" t="inlineStr">
        <is>
          <t>Specter's Energy</t>
        </is>
      </c>
      <c r="D210" t="n">
        <v>0.01714971</v>
      </c>
      <c r="E210" t="n">
        <v>5007.6</v>
      </c>
      <c r="F210" s="3" t="n">
        <v>0.00342473640067098</v>
      </c>
      <c r="G210" t="n">
        <v>291993</v>
      </c>
      <c r="H210" s="3" t="n">
        <v>0.001200709887860506</v>
      </c>
      <c r="I210" s="3" t="n">
        <v>0.007629416440845129</v>
      </c>
      <c r="J210" t="n">
        <v>5.6</v>
      </c>
      <c r="K210">
        <f>IF(IFERROR(INDEX(Spots!$K$2:$K$96,MATCH(A210,Spots!$A$2:$A$96,0)),"")="","",IFERROR(INDEX(Spots!$K$2:$K$96,MATCH(A210,Spots!$A$2:$A$96,0)),""))</f>
        <v/>
      </c>
      <c r="L210" s="3">
        <f>IF(OR(K210="",F210=""),"",F210/1000*K210*100)</f>
        <v/>
      </c>
      <c r="M210">
        <f>IF(OR(L210="",L210=0),"",ROUND(100/L210,0))</f>
        <v/>
      </c>
      <c r="N210" t="inlineStr">
        <is>
          <t>low sample</t>
        </is>
      </c>
    </row>
    <row r="211">
      <c r="A211" t="n">
        <v>22</v>
      </c>
      <c r="B211" t="inlineStr">
        <is>
          <t>Blood Wolf Settlement</t>
        </is>
      </c>
      <c r="C211" t="inlineStr">
        <is>
          <t>Ancient Ash Halfmoon Kagtunak</t>
        </is>
      </c>
      <c r="D211" t="n">
        <v>0.009856729999999999</v>
      </c>
      <c r="E211" t="n">
        <v>5007.6</v>
      </c>
      <c r="F211" s="3" t="n">
        <v>0.001968354101765317</v>
      </c>
      <c r="G211" t="n">
        <v>508039</v>
      </c>
      <c r="H211" s="3" t="n">
        <v>0.0004310570293295887</v>
      </c>
      <c r="I211" s="3" t="n">
        <v>0.005543319770438213</v>
      </c>
      <c r="J211" t="n">
        <v>3.2</v>
      </c>
      <c r="K211">
        <f>IF(IFERROR(INDEX(Spots!$K$2:$K$96,MATCH(A211,Spots!$A$2:$A$96,0)),"")="","",IFERROR(INDEX(Spots!$K$2:$K$96,MATCH(A211,Spots!$A$2:$A$96,0)),""))</f>
        <v/>
      </c>
      <c r="L211" s="3">
        <f>IF(OR(K211="",F211=""),"",F211/1000*K211*100)</f>
        <v/>
      </c>
      <c r="M211">
        <f>IF(OR(L211="",L211=0),"",ROUND(100/L211,0))</f>
        <v/>
      </c>
      <c r="N211" t="inlineStr">
        <is>
          <t>low sample</t>
        </is>
      </c>
    </row>
    <row r="212">
      <c r="A212" t="n">
        <v>22</v>
      </c>
      <c r="B212" t="inlineStr">
        <is>
          <t>Blood Wolf Settlement</t>
        </is>
      </c>
      <c r="C212" t="inlineStr">
        <is>
          <t>Manos Craftsman's Clothes</t>
        </is>
      </c>
      <c r="D212" t="n">
        <v>0.00426698</v>
      </c>
      <c r="E212" t="n">
        <v>5007.6</v>
      </c>
      <c r="F212" s="3" t="n">
        <v>0.000852100806773704</v>
      </c>
      <c r="G212" t="n">
        <v>1173570</v>
      </c>
      <c r="H212" s="3" t="n">
        <v>4.286522231163711e-05</v>
      </c>
      <c r="I212" s="3" t="n">
        <v>0.003796337966519028</v>
      </c>
      <c r="J212" t="n">
        <v>1.4</v>
      </c>
      <c r="K212">
        <f>IF(IFERROR(INDEX(Spots!$K$2:$K$96,MATCH(A212,Spots!$A$2:$A$96,0)),"")="","",IFERROR(INDEX(Spots!$K$2:$K$96,MATCH(A212,Spots!$A$2:$A$96,0)),""))</f>
        <v/>
      </c>
      <c r="L212" s="3">
        <f>IF(OR(K212="",F212=""),"",F212/1000*K212*100)</f>
        <v/>
      </c>
      <c r="M212">
        <f>IF(OR(L212="",L212=0),"",ROUND(100/L212,0))</f>
        <v/>
      </c>
      <c r="N212" t="inlineStr">
        <is>
          <t>low sample</t>
        </is>
      </c>
    </row>
    <row r="213">
      <c r="A213" t="n">
        <v>22</v>
      </c>
      <c r="B213" t="inlineStr">
        <is>
          <t>Blood Wolf Settlement</t>
        </is>
      </c>
      <c r="C213" t="inlineStr">
        <is>
          <t>Great Marni's Stone (Kagtum)</t>
        </is>
      </c>
      <c r="D213" t="n">
        <v>0.00189224</v>
      </c>
      <c r="E213" t="n">
        <v>5007.6</v>
      </c>
      <c r="F213" s="3" t="n">
        <v>0.0003778736320792395</v>
      </c>
      <c r="G213" t="n">
        <v>2646387</v>
      </c>
      <c r="H213" s="3" t="n">
        <v>0</v>
      </c>
      <c r="I213" s="3" t="n">
        <v>0.002969793464035265</v>
      </c>
      <c r="J213" t="n">
        <v>0.6</v>
      </c>
      <c r="K213">
        <f>IF(IFERROR(INDEX(Spots!$K$2:$K$96,MATCH(A213,Spots!$A$2:$A$96,0)),"")="","",IFERROR(INDEX(Spots!$K$2:$K$96,MATCH(A213,Spots!$A$2:$A$96,0)),""))</f>
        <v/>
      </c>
      <c r="L213" s="3">
        <f>IF(OR(K213="",F213=""),"",F213/1000*K213*100)</f>
        <v/>
      </c>
      <c r="M213">
        <f>IF(OR(L213="",L213=0),"",ROUND(100/L213,0))</f>
        <v/>
      </c>
      <c r="N213" t="inlineStr">
        <is>
          <t>low sample</t>
        </is>
      </c>
    </row>
    <row r="214">
      <c r="A214" t="n">
        <v>18</v>
      </c>
      <c r="B214" t="inlineStr">
        <is>
          <t>Bloody Monastery</t>
        </is>
      </c>
      <c r="C214" t="inlineStr">
        <is>
          <t>Black Stone</t>
        </is>
      </c>
      <c r="D214" t="n">
        <v>56.275</v>
      </c>
      <c r="E214" t="n">
        <v>5865.5</v>
      </c>
      <c r="F214" s="3" t="n">
        <v>9.594237490410025</v>
      </c>
      <c r="G214" t="n">
        <v>104</v>
      </c>
      <c r="H214" s="3" t="n">
        <v>9.389792661780611</v>
      </c>
      <c r="I214" s="3" t="n">
        <v>9.802011956600424</v>
      </c>
      <c r="J214" t="n">
        <v>8370.9</v>
      </c>
      <c r="K214">
        <f>IF(IFERROR(INDEX(Spots!$K$2:$K$96,MATCH(A214,Spots!$A$2:$A$96,0)),"")="","",IFERROR(INDEX(Spots!$K$2:$K$96,MATCH(A214,Spots!$A$2:$A$96,0)),""))</f>
        <v/>
      </c>
      <c r="L214" s="3">
        <f>IF(OR(K214="",F214=""),"",F214/1000*K214*100)</f>
        <v/>
      </c>
      <c r="M214">
        <f>IF(OR(L214="",L214=0),"",ROUND(100/L214,0))</f>
        <v/>
      </c>
      <c r="N214" t="inlineStr"/>
    </row>
    <row r="215">
      <c r="A215" t="n">
        <v>18</v>
      </c>
      <c r="B215" t="inlineStr">
        <is>
          <t>Bloody Monastery</t>
        </is>
      </c>
      <c r="C215" t="inlineStr">
        <is>
          <t>Trace of Nature</t>
        </is>
      </c>
      <c r="D215" t="n">
        <v>15.128</v>
      </c>
      <c r="E215" t="n">
        <v>5865.5</v>
      </c>
      <c r="F215" s="3" t="n">
        <v>2.579149262637456</v>
      </c>
      <c r="G215" t="n">
        <v>388</v>
      </c>
      <c r="H215" s="3" t="n">
        <v>2.47367393467836</v>
      </c>
      <c r="I215" s="3" t="n">
        <v>2.687965549647992</v>
      </c>
      <c r="J215" t="n">
        <v>2250.3</v>
      </c>
      <c r="K215">
        <f>IF(IFERROR(INDEX(Spots!$K$2:$K$96,MATCH(A215,Spots!$A$2:$A$96,0)),"")="","",IFERROR(INDEX(Spots!$K$2:$K$96,MATCH(A215,Spots!$A$2:$A$96,0)),""))</f>
        <v/>
      </c>
      <c r="L215" s="3">
        <f>IF(OR(K215="",F215=""),"",F215/1000*K215*100)</f>
        <v/>
      </c>
      <c r="M215">
        <f>IF(OR(L215="",L215=0),"",ROUND(100/L215,0))</f>
        <v/>
      </c>
      <c r="N215" t="inlineStr"/>
    </row>
    <row r="216">
      <c r="A216" t="n">
        <v>18</v>
      </c>
      <c r="B216" t="inlineStr">
        <is>
          <t>Bloody Monastery</t>
        </is>
      </c>
      <c r="C216" t="inlineStr">
        <is>
          <t>Narc's Lightning</t>
        </is>
      </c>
      <c r="D216" t="n">
        <v>3.56647</v>
      </c>
      <c r="E216" t="n">
        <v>5865.5</v>
      </c>
      <c r="F216" s="3" t="n">
        <v>0.6080419401585542</v>
      </c>
      <c r="G216" t="n">
        <v>1645</v>
      </c>
      <c r="H216" s="3" t="n">
        <v>0.5573932961666078</v>
      </c>
      <c r="I216" s="3" t="n">
        <v>0.6620562701325455</v>
      </c>
      <c r="J216" t="n">
        <v>530.5</v>
      </c>
      <c r="K216">
        <f>IF(IFERROR(INDEX(Spots!$K$2:$K$96,MATCH(A216,Spots!$A$2:$A$96,0)),"")="","",IFERROR(INDEX(Spots!$K$2:$K$96,MATCH(A216,Spots!$A$2:$A$96,0)),""))</f>
        <v/>
      </c>
      <c r="L216" s="3">
        <f>IF(OR(K216="",F216=""),"",F216/1000*K216*100)</f>
        <v/>
      </c>
      <c r="M216">
        <f>IF(OR(L216="",L216=0),"",ROUND(100/L216,0))</f>
        <v/>
      </c>
      <c r="N216" t="inlineStr"/>
    </row>
    <row r="217">
      <c r="A217" t="n">
        <v>18</v>
      </c>
      <c r="B217" t="inlineStr">
        <is>
          <t>Bloody Monastery</t>
        </is>
      </c>
      <c r="C217" t="inlineStr">
        <is>
          <t>Shard of the Drained Night</t>
        </is>
      </c>
      <c r="D217" t="n">
        <v>1.910328</v>
      </c>
      <c r="E217" t="n">
        <v>5865.5</v>
      </c>
      <c r="F217" s="3" t="n">
        <v>0.3256888585798312</v>
      </c>
      <c r="G217" t="n">
        <v>3070</v>
      </c>
      <c r="H217" s="3" t="n">
        <v>0.2889163444533202</v>
      </c>
      <c r="I217" s="3" t="n">
        <v>0.3658445071592271</v>
      </c>
      <c r="J217" t="n">
        <v>284.2</v>
      </c>
      <c r="K217">
        <f>IF(IFERROR(INDEX(Spots!$K$2:$K$96,MATCH(A217,Spots!$A$2:$A$96,0)),"")="","",IFERROR(INDEX(Spots!$K$2:$K$96,MATCH(A217,Spots!$A$2:$A$96,0)),""))</f>
        <v/>
      </c>
      <c r="L217" s="3">
        <f>IF(OR(K217="",F217=""),"",F217/1000*K217*100)</f>
        <v/>
      </c>
      <c r="M217">
        <f>IF(OR(L217="",L217=0),"",ROUND(100/L217,0))</f>
        <v/>
      </c>
      <c r="N217" t="inlineStr"/>
    </row>
    <row r="218">
      <c r="A218" t="n">
        <v>18</v>
      </c>
      <c r="B218" t="inlineStr">
        <is>
          <t>Bloody Monastery</t>
        </is>
      </c>
      <c r="C218" t="inlineStr">
        <is>
          <t>Sealed Black Magic Crystal</t>
        </is>
      </c>
      <c r="D218" t="n">
        <v>1.642917</v>
      </c>
      <c r="E218" t="n">
        <v>5865.5</v>
      </c>
      <c r="F218" s="3" t="n">
        <v>0.2800983718353082</v>
      </c>
      <c r="G218" t="n">
        <v>3570</v>
      </c>
      <c r="H218" s="3" t="n">
        <v>0.2460769359887723</v>
      </c>
      <c r="I218" s="3" t="n">
        <v>0.3175080127010673</v>
      </c>
      <c r="J218" t="n">
        <v>244.4</v>
      </c>
      <c r="K218">
        <f>IF(IFERROR(INDEX(Spots!$K$2:$K$96,MATCH(A218,Spots!$A$2:$A$96,0)),"")="","",IFERROR(INDEX(Spots!$K$2:$K$96,MATCH(A218,Spots!$A$2:$A$96,0)),""))</f>
        <v/>
      </c>
      <c r="L218" s="3">
        <f>IF(OR(K218="",F218=""),"",F218/1000*K218*100)</f>
        <v/>
      </c>
      <c r="M218">
        <f>IF(OR(L218="",L218=0),"",ROUND(100/L218,0))</f>
        <v/>
      </c>
      <c r="N218" t="inlineStr"/>
    </row>
    <row r="219">
      <c r="A219" t="n">
        <v>18</v>
      </c>
      <c r="B219" t="inlineStr">
        <is>
          <t>Bloody Monastery</t>
        </is>
      </c>
      <c r="C219" t="inlineStr">
        <is>
          <t>Mass of Pure Magic</t>
        </is>
      </c>
      <c r="D219" t="n">
        <v>1.46922</v>
      </c>
      <c r="E219" t="n">
        <v>5865.5</v>
      </c>
      <c r="F219" s="3" t="n">
        <v>0.2504850396385644</v>
      </c>
      <c r="G219" t="n">
        <v>3992</v>
      </c>
      <c r="H219" s="3" t="n">
        <v>0.2183724741629037</v>
      </c>
      <c r="I219" s="3" t="n">
        <v>0.2859898133910021</v>
      </c>
      <c r="J219" t="n">
        <v>218.5</v>
      </c>
      <c r="K219">
        <f>IF(IFERROR(INDEX(Spots!$K$2:$K$96,MATCH(A219,Spots!$A$2:$A$96,0)),"")="","",IFERROR(INDEX(Spots!$K$2:$K$96,MATCH(A219,Spots!$A$2:$A$96,0)),""))</f>
        <v/>
      </c>
      <c r="L219" s="3">
        <f>IF(OR(K219="",F219=""),"",F219/1000*K219*100)</f>
        <v/>
      </c>
      <c r="M219">
        <f>IF(OR(L219="",L219=0),"",ROUND(100/L219,0))</f>
        <v/>
      </c>
      <c r="N219" t="inlineStr"/>
    </row>
    <row r="220">
      <c r="A220" t="n">
        <v>18</v>
      </c>
      <c r="B220" t="inlineStr">
        <is>
          <t>Bloody Monastery</t>
        </is>
      </c>
      <c r="C220" t="inlineStr">
        <is>
          <t>Seed of Void</t>
        </is>
      </c>
      <c r="D220" t="n">
        <v>1.445287</v>
      </c>
      <c r="E220" t="n">
        <v>5865.5</v>
      </c>
      <c r="F220" s="3" t="n">
        <v>0.2464047395788936</v>
      </c>
      <c r="G220" t="n">
        <v>4058</v>
      </c>
      <c r="H220" s="3" t="n">
        <v>0.2145638624317177</v>
      </c>
      <c r="I220" s="3" t="n">
        <v>0.2816384318281988</v>
      </c>
      <c r="J220" t="n">
        <v>215</v>
      </c>
      <c r="K220">
        <f>IF(IFERROR(INDEX(Spots!$K$2:$K$96,MATCH(A220,Spots!$A$2:$A$96,0)),"")="","",IFERROR(INDEX(Spots!$K$2:$K$96,MATCH(A220,Spots!$A$2:$A$96,0)),""))</f>
        <v/>
      </c>
      <c r="L220" s="3">
        <f>IF(OR(K220="",F220=""),"",F220/1000*K220*100)</f>
        <v/>
      </c>
      <c r="M220">
        <f>IF(OR(L220="",L220=0),"",ROUND(100/L220,0))</f>
        <v/>
      </c>
      <c r="N220" t="inlineStr"/>
    </row>
    <row r="221">
      <c r="A221" t="n">
        <v>18</v>
      </c>
      <c r="B221" t="inlineStr">
        <is>
          <t>Bloody Monastery</t>
        </is>
      </c>
      <c r="C221" t="inlineStr">
        <is>
          <t>Crimson Bell</t>
        </is>
      </c>
      <c r="D221" t="n">
        <v>0.78776879</v>
      </c>
      <c r="E221" t="n">
        <v>5865.5</v>
      </c>
      <c r="F221" s="3" t="n">
        <v>0.134305479498764</v>
      </c>
      <c r="G221" t="n">
        <v>7446</v>
      </c>
      <c r="H221" s="3" t="n">
        <v>0.1110889739571537</v>
      </c>
      <c r="I221" s="3" t="n">
        <v>0.1609409358891355</v>
      </c>
      <c r="J221" t="n">
        <v>117.2</v>
      </c>
      <c r="K221">
        <f>IF(IFERROR(INDEX(Spots!$K$2:$K$96,MATCH(A221,Spots!$A$2:$A$96,0)),"")="","",IFERROR(INDEX(Spots!$K$2:$K$96,MATCH(A221,Spots!$A$2:$A$96,0)),""))</f>
        <v/>
      </c>
      <c r="L221" s="3">
        <f>IF(OR(K221="",F221=""),"",F221/1000*K221*100)</f>
        <v/>
      </c>
      <c r="M221">
        <f>IF(OR(L221="",L221=0),"",ROUND(100/L221,0))</f>
        <v/>
      </c>
      <c r="N221" t="inlineStr"/>
    </row>
    <row r="222">
      <c r="A222" t="n">
        <v>18</v>
      </c>
      <c r="B222" t="inlineStr">
        <is>
          <t>Bloody Monastery</t>
        </is>
      </c>
      <c r="C222" t="inlineStr">
        <is>
          <t>Revived Lunar Necklace</t>
        </is>
      </c>
      <c r="D222" t="n">
        <v>0.17099627</v>
      </c>
      <c r="E222" t="n">
        <v>5865.5</v>
      </c>
      <c r="F222" s="3" t="n">
        <v>0.02915288892677521</v>
      </c>
      <c r="G222" t="n">
        <v>34302</v>
      </c>
      <c r="H222" s="3" t="n">
        <v>0.01893952640408637</v>
      </c>
      <c r="I222" s="3" t="n">
        <v>0.0428955636514324</v>
      </c>
      <c r="J222" t="n">
        <v>25.4</v>
      </c>
      <c r="K222">
        <f>IF(IFERROR(INDEX(Spots!$K$2:$K$96,MATCH(A222,Spots!$A$2:$A$96,0)),"")="","",IFERROR(INDEX(Spots!$K$2:$K$96,MATCH(A222,Spots!$A$2:$A$96,0)),""))</f>
        <v/>
      </c>
      <c r="L222" s="3">
        <f>IF(OR(K222="",F222=""),"",F222/1000*K222*100)</f>
        <v/>
      </c>
      <c r="M222">
        <f>IF(OR(L222="",L222=0),"",ROUND(100/L222,0))</f>
        <v/>
      </c>
      <c r="N222" t="inlineStr">
        <is>
          <t>low sample</t>
        </is>
      </c>
    </row>
    <row r="223">
      <c r="A223" t="n">
        <v>18</v>
      </c>
      <c r="B223" t="inlineStr">
        <is>
          <t>Bloody Monastery</t>
        </is>
      </c>
      <c r="C223" t="inlineStr">
        <is>
          <t>Burning Valtarra's Jordun</t>
        </is>
      </c>
      <c r="D223" t="n">
        <v>0.12202659</v>
      </c>
      <c r="E223" t="n">
        <v>5865.5</v>
      </c>
      <c r="F223" s="3" t="n">
        <v>0.02080412411559117</v>
      </c>
      <c r="G223" t="n">
        <v>48067</v>
      </c>
      <c r="H223" s="3" t="n">
        <v>0.01235405673791253</v>
      </c>
      <c r="I223" s="3" t="n">
        <v>0.03281981983836716</v>
      </c>
      <c r="J223" t="n">
        <v>18.2</v>
      </c>
      <c r="K223">
        <f>IF(IFERROR(INDEX(Spots!$K$2:$K$96,MATCH(A223,Spots!$A$2:$A$96,0)),"")="","",IFERROR(INDEX(Spots!$K$2:$K$96,MATCH(A223,Spots!$A$2:$A$96,0)),""))</f>
        <v/>
      </c>
      <c r="L223" s="3">
        <f>IF(OR(K223="",F223=""),"",F223/1000*K223*100)</f>
        <v/>
      </c>
      <c r="M223">
        <f>IF(OR(L223="",L223=0),"",ROUND(100/L223,0))</f>
        <v/>
      </c>
      <c r="N223" t="inlineStr">
        <is>
          <t>low sample</t>
        </is>
      </c>
    </row>
    <row r="224">
      <c r="A224" t="n">
        <v>86</v>
      </c>
      <c r="B224" t="inlineStr">
        <is>
          <t>Cadry Ruins</t>
        </is>
      </c>
      <c r="C224" t="inlineStr">
        <is>
          <t>Sturdy Rock Fragment</t>
        </is>
      </c>
      <c r="D224" t="n">
        <v>317.07</v>
      </c>
      <c r="E224" t="n">
        <v>4420.8</v>
      </c>
      <c r="F224" s="3" t="n">
        <v>71.72231270358306</v>
      </c>
      <c r="G224" t="n">
        <v>14</v>
      </c>
      <c r="H224" s="3" t="n">
        <v>70.90547083634058</v>
      </c>
      <c r="I224" s="3" t="n">
        <v>72.54621733687981</v>
      </c>
      <c r="J224" t="n">
        <v>29450.5</v>
      </c>
      <c r="K224">
        <f>IF(IFERROR(INDEX(Spots!$K$2:$K$96,MATCH(A224,Spots!$A$2:$A$96,0)),"")="","",IFERROR(INDEX(Spots!$K$2:$K$96,MATCH(A224,Spots!$A$2:$A$96,0)),""))</f>
        <v/>
      </c>
      <c r="L224" s="3">
        <f>IF(OR(K224="",F224=""),"",F224/1000*K224*100)</f>
        <v/>
      </c>
      <c r="M224">
        <f>IF(OR(L224="",L224=0),"",ROUND(100/L224,0))</f>
        <v/>
      </c>
      <c r="N224" t="inlineStr"/>
    </row>
    <row r="225">
      <c r="A225" t="n">
        <v>86</v>
      </c>
      <c r="B225" t="inlineStr">
        <is>
          <t>Cadry Ruins</t>
        </is>
      </c>
      <c r="C225" t="inlineStr">
        <is>
          <t>Rusty Iron Piece</t>
        </is>
      </c>
      <c r="D225" t="n">
        <v>175.38</v>
      </c>
      <c r="E225" t="n">
        <v>4420.8</v>
      </c>
      <c r="F225" s="3" t="n">
        <v>39.67155266015201</v>
      </c>
      <c r="G225" t="n">
        <v>25</v>
      </c>
      <c r="H225" s="3" t="n">
        <v>39.06463932803185</v>
      </c>
      <c r="I225" s="3" t="n">
        <v>40.28553353634512</v>
      </c>
      <c r="J225" t="n">
        <v>16289.9</v>
      </c>
      <c r="K225">
        <f>IF(IFERROR(INDEX(Spots!$K$2:$K$96,MATCH(A225,Spots!$A$2:$A$96,0)),"")="","",IFERROR(INDEX(Spots!$K$2:$K$96,MATCH(A225,Spots!$A$2:$A$96,0)),""))</f>
        <v/>
      </c>
      <c r="L225" s="3">
        <f>IF(OR(K225="",F225=""),"",F225/1000*K225*100)</f>
        <v/>
      </c>
      <c r="M225">
        <f>IF(OR(L225="",L225=0),"",ROUND(100/L225,0))</f>
        <v/>
      </c>
      <c r="N225" t="inlineStr"/>
    </row>
    <row r="226">
      <c r="A226" t="n">
        <v>86</v>
      </c>
      <c r="B226" t="inlineStr">
        <is>
          <t>Cadry Ruins</t>
        </is>
      </c>
      <c r="C226" t="inlineStr">
        <is>
          <t>Black Stone</t>
        </is>
      </c>
      <c r="D226" t="n">
        <v>78.746</v>
      </c>
      <c r="E226" t="n">
        <v>4420.8</v>
      </c>
      <c r="F226" s="3" t="n">
        <v>17.81261310170105</v>
      </c>
      <c r="G226" t="n">
        <v>56</v>
      </c>
      <c r="H226" s="3" t="n">
        <v>17.40669838825945</v>
      </c>
      <c r="I226" s="3" t="n">
        <v>18.22560452714313</v>
      </c>
      <c r="J226" t="n">
        <v>7314.2</v>
      </c>
      <c r="K226">
        <f>IF(IFERROR(INDEX(Spots!$K$2:$K$96,MATCH(A226,Spots!$A$2:$A$96,0)),"")="","",IFERROR(INDEX(Spots!$K$2:$K$96,MATCH(A226,Spots!$A$2:$A$96,0)),""))</f>
        <v/>
      </c>
      <c r="L226" s="3">
        <f>IF(OR(K226="",F226=""),"",F226/1000*K226*100)</f>
        <v/>
      </c>
      <c r="M226">
        <f>IF(OR(L226="",L226=0),"",ROUND(100/L226,0))</f>
        <v/>
      </c>
      <c r="N226" t="inlineStr"/>
    </row>
    <row r="227">
      <c r="A227" t="n">
        <v>86</v>
      </c>
      <c r="B227" t="inlineStr">
        <is>
          <t>Cadry Ruins</t>
        </is>
      </c>
      <c r="C227" t="inlineStr">
        <is>
          <t>Scroll Written in Ancient Language</t>
        </is>
      </c>
      <c r="D227" t="n">
        <v>8.802072000000001</v>
      </c>
      <c r="E227" t="n">
        <v>4420.8</v>
      </c>
      <c r="F227" s="3" t="n">
        <v>1.991058631921824</v>
      </c>
      <c r="G227" t="n">
        <v>502</v>
      </c>
      <c r="H227" s="3" t="n">
        <v>1.856895359684775</v>
      </c>
      <c r="I227" s="3" t="n">
        <v>2.132353605636662</v>
      </c>
      <c r="J227" t="n">
        <v>817.6</v>
      </c>
      <c r="K227">
        <f>IF(IFERROR(INDEX(Spots!$K$2:$K$96,MATCH(A227,Spots!$A$2:$A$96,0)),"")="","",IFERROR(INDEX(Spots!$K$2:$K$96,MATCH(A227,Spots!$A$2:$A$96,0)),""))</f>
        <v/>
      </c>
      <c r="L227" s="3">
        <f>IF(OR(K227="",F227=""),"",F227/1000*K227*100)</f>
        <v/>
      </c>
      <c r="M227">
        <f>IF(OR(L227="",L227=0),"",ROUND(100/L227,0))</f>
        <v/>
      </c>
      <c r="N227" t="inlineStr"/>
    </row>
    <row r="228">
      <c r="A228" t="n">
        <v>86</v>
      </c>
      <c r="B228" t="inlineStr">
        <is>
          <t>Cadry Ruins</t>
        </is>
      </c>
      <c r="C228" t="inlineStr">
        <is>
          <t>Caphras Stone</t>
        </is>
      </c>
      <c r="D228" t="n">
        <v>8.610428000000001</v>
      </c>
      <c r="E228" t="n">
        <v>4420.8</v>
      </c>
      <c r="F228" s="3" t="n">
        <v>1.947708107129931</v>
      </c>
      <c r="G228" t="n">
        <v>513</v>
      </c>
      <c r="H228" s="3" t="n">
        <v>1.815038947836064</v>
      </c>
      <c r="I228" s="3" t="n">
        <v>2.087509877163356</v>
      </c>
      <c r="J228" t="n">
        <v>799.8</v>
      </c>
      <c r="K228">
        <f>IF(IFERROR(INDEX(Spots!$K$2:$K$96,MATCH(A228,Spots!$A$2:$A$96,0)),"")="","",IFERROR(INDEX(Spots!$K$2:$K$96,MATCH(A228,Spots!$A$2:$A$96,0)),""))</f>
        <v/>
      </c>
      <c r="L228" s="3">
        <f>IF(OR(K228="",F228=""),"",F228/1000*K228*100)</f>
        <v/>
      </c>
      <c r="M228">
        <f>IF(OR(L228="",L228=0),"",ROUND(100/L228,0))</f>
        <v/>
      </c>
      <c r="N228" t="inlineStr"/>
    </row>
    <row r="229">
      <c r="A229" t="n">
        <v>86</v>
      </c>
      <c r="B229" t="inlineStr">
        <is>
          <t>Cadry Ruins</t>
        </is>
      </c>
      <c r="C229" t="inlineStr">
        <is>
          <t>Ancient Spirit Dust</t>
        </is>
      </c>
      <c r="D229" t="n">
        <v>7.152951</v>
      </c>
      <c r="E229" t="n">
        <v>4420.8</v>
      </c>
      <c r="F229" s="3" t="n">
        <v>1.618021851248643</v>
      </c>
      <c r="G229" t="n">
        <v>618</v>
      </c>
      <c r="H229" s="3" t="n">
        <v>1.497307955795239</v>
      </c>
      <c r="I229" s="3" t="n">
        <v>1.745876420834584</v>
      </c>
      <c r="J229" t="n">
        <v>664.4</v>
      </c>
      <c r="K229">
        <f>IF(IFERROR(INDEX(Spots!$K$2:$K$96,MATCH(A229,Spots!$A$2:$A$96,0)),"")="","",IFERROR(INDEX(Spots!$K$2:$K$96,MATCH(A229,Spots!$A$2:$A$96,0)),""))</f>
        <v/>
      </c>
      <c r="L229" s="3">
        <f>IF(OR(K229="",F229=""),"",F229/1000*K229*100)</f>
        <v/>
      </c>
      <c r="M229">
        <f>IF(OR(L229="",L229=0),"",ROUND(100/L229,0))</f>
        <v/>
      </c>
      <c r="N229" t="inlineStr"/>
    </row>
    <row r="230">
      <c r="A230" t="n">
        <v>86</v>
      </c>
      <c r="B230" t="inlineStr">
        <is>
          <t>Cadry Ruins</t>
        </is>
      </c>
      <c r="C230" t="inlineStr">
        <is>
          <t>Rosar Main Weapon Box</t>
        </is>
      </c>
      <c r="D230" t="n">
        <v>6.232973</v>
      </c>
      <c r="E230" t="n">
        <v>4420.8</v>
      </c>
      <c r="F230" s="3" t="n">
        <v>1.409919697792255</v>
      </c>
      <c r="G230" t="n">
        <v>709</v>
      </c>
      <c r="H230" s="3" t="n">
        <v>1.297391097826762</v>
      </c>
      <c r="I230" s="3" t="n">
        <v>1.529595450923334</v>
      </c>
      <c r="J230" t="n">
        <v>578.9</v>
      </c>
      <c r="K230">
        <f>IF(IFERROR(INDEX(Spots!$K$2:$K$96,MATCH(A230,Spots!$A$2:$A$96,0)),"")="","",IFERROR(INDEX(Spots!$K$2:$K$96,MATCH(A230,Spots!$A$2:$A$96,0)),""))</f>
        <v/>
      </c>
      <c r="L230" s="3">
        <f>IF(OR(K230="",F230=""),"",F230/1000*K230*100)</f>
        <v/>
      </c>
      <c r="M230">
        <f>IF(OR(L230="",L230=0),"",ROUND(100/L230,0))</f>
        <v/>
      </c>
      <c r="N230" t="inlineStr"/>
    </row>
    <row r="231">
      <c r="A231" t="n">
        <v>86</v>
      </c>
      <c r="B231" t="inlineStr">
        <is>
          <t>Cadry Ruins</t>
        </is>
      </c>
      <c r="C231" t="inlineStr">
        <is>
          <t>Sealed Black Magic Crystal</t>
        </is>
      </c>
      <c r="D231" t="n">
        <v>2.833893</v>
      </c>
      <c r="E231" t="n">
        <v>4420.8</v>
      </c>
      <c r="F231" s="3" t="n">
        <v>0.6410362377850163</v>
      </c>
      <c r="G231" t="n">
        <v>1560</v>
      </c>
      <c r="H231" s="3" t="n">
        <v>0.5659232704679458</v>
      </c>
      <c r="I231" s="3" t="n">
        <v>0.72334314733158</v>
      </c>
      <c r="J231" t="n">
        <v>263.2</v>
      </c>
      <c r="K231">
        <f>IF(IFERROR(INDEX(Spots!$K$2:$K$96,MATCH(A231,Spots!$A$2:$A$96,0)),"")="","",IFERROR(INDEX(Spots!$K$2:$K$96,MATCH(A231,Spots!$A$2:$A$96,0)),""))</f>
        <v/>
      </c>
      <c r="L231" s="3">
        <f>IF(OR(K231="",F231=""),"",F231/1000*K231*100)</f>
        <v/>
      </c>
      <c r="M231">
        <f>IF(OR(L231="",L231=0),"",ROUND(100/L231,0))</f>
        <v/>
      </c>
      <c r="N231" t="inlineStr"/>
    </row>
    <row r="232">
      <c r="A232" t="n">
        <v>86</v>
      </c>
      <c r="B232" t="inlineStr">
        <is>
          <t>Cadry Ruins</t>
        </is>
      </c>
      <c r="C232" t="inlineStr">
        <is>
          <t>Yona's Fragment</t>
        </is>
      </c>
      <c r="D232" t="n">
        <v>1.799304</v>
      </c>
      <c r="E232" t="n">
        <v>4420.8</v>
      </c>
      <c r="F232" s="3" t="n">
        <v>0.4070086862106406</v>
      </c>
      <c r="G232" t="n">
        <v>2457</v>
      </c>
      <c r="H232" s="3" t="n">
        <v>0.3476358156723053</v>
      </c>
      <c r="I232" s="3" t="n">
        <v>0.473611801706923</v>
      </c>
      <c r="J232" t="n">
        <v>167.1</v>
      </c>
      <c r="K232">
        <f>IF(IFERROR(INDEX(Spots!$K$2:$K$96,MATCH(A232,Spots!$A$2:$A$96,0)),"")="","",IFERROR(INDEX(Spots!$K$2:$K$96,MATCH(A232,Spots!$A$2:$A$96,0)),""))</f>
        <v/>
      </c>
      <c r="L232" s="3">
        <f>IF(OR(K232="",F232=""),"",F232/1000*K232*100)</f>
        <v/>
      </c>
      <c r="M232">
        <f>IF(OR(L232="",L232=0),"",ROUND(100/L232,0))</f>
        <v/>
      </c>
      <c r="N232" t="inlineStr"/>
    </row>
    <row r="233">
      <c r="A233" t="n">
        <v>86</v>
      </c>
      <c r="B233" t="inlineStr">
        <is>
          <t>Cadry Ruins</t>
        </is>
      </c>
      <c r="C233" t="inlineStr">
        <is>
          <t>Mass of Pure Magic</t>
        </is>
      </c>
      <c r="D233" t="n">
        <v>1.724314</v>
      </c>
      <c r="E233" t="n">
        <v>4420.8</v>
      </c>
      <c r="F233" s="3" t="n">
        <v>0.390045693087224</v>
      </c>
      <c r="G233" t="n">
        <v>2564</v>
      </c>
      <c r="H233" s="3" t="n">
        <v>0.3319729745096619</v>
      </c>
      <c r="I233" s="3" t="n">
        <v>0.4553524833515907</v>
      </c>
      <c r="J233" t="n">
        <v>160.2</v>
      </c>
      <c r="K233">
        <f>IF(IFERROR(INDEX(Spots!$K$2:$K$96,MATCH(A233,Spots!$A$2:$A$96,0)),"")="","",IFERROR(INDEX(Spots!$K$2:$K$96,MATCH(A233,Spots!$A$2:$A$96,0)),""))</f>
        <v/>
      </c>
      <c r="L233" s="3">
        <f>IF(OR(K233="",F233=""),"",F233/1000*K233*100)</f>
        <v/>
      </c>
      <c r="M233">
        <f>IF(OR(L233="",L233=0),"",ROUND(100/L233,0))</f>
        <v/>
      </c>
      <c r="N233" t="inlineStr"/>
    </row>
    <row r="234">
      <c r="A234" t="n">
        <v>86</v>
      </c>
      <c r="B234" t="inlineStr">
        <is>
          <t>Cadry Ruins</t>
        </is>
      </c>
      <c r="C234" t="inlineStr">
        <is>
          <t>Trace of Nature</t>
        </is>
      </c>
      <c r="D234" t="n">
        <v>1.145702</v>
      </c>
      <c r="E234" t="n">
        <v>4420.8</v>
      </c>
      <c r="F234" s="3" t="n">
        <v>0.2591616901918204</v>
      </c>
      <c r="G234" t="n">
        <v>3859</v>
      </c>
      <c r="H234" s="3" t="n">
        <v>0.2122625159517608</v>
      </c>
      <c r="I234" s="3" t="n">
        <v>0.3133359333972385</v>
      </c>
      <c r="J234" t="n">
        <v>106.4</v>
      </c>
      <c r="K234">
        <f>IF(IFERROR(INDEX(Spots!$K$2:$K$96,MATCH(A234,Spots!$A$2:$A$96,0)),"")="","",IFERROR(INDEX(Spots!$K$2:$K$96,MATCH(A234,Spots!$A$2:$A$96,0)),""))</f>
        <v/>
      </c>
      <c r="L234" s="3">
        <f>IF(OR(K234="",F234=""),"",F234/1000*K234*100)</f>
        <v/>
      </c>
      <c r="M234">
        <f>IF(OR(L234="",L234=0),"",ROUND(100/L234,0))</f>
        <v/>
      </c>
      <c r="N234" t="inlineStr"/>
    </row>
    <row r="235">
      <c r="A235" t="n">
        <v>86</v>
      </c>
      <c r="B235" t="inlineStr">
        <is>
          <t>Cadry Ruins</t>
        </is>
      </c>
      <c r="C235" t="inlineStr">
        <is>
          <t>Atanis' Element</t>
        </is>
      </c>
      <c r="D235" t="n">
        <v>0.9235981</v>
      </c>
      <c r="E235" t="n">
        <v>4420.8</v>
      </c>
      <c r="F235" s="3" t="n">
        <v>0.2089210323923272</v>
      </c>
      <c r="G235" t="n">
        <v>4786</v>
      </c>
      <c r="H235" s="3" t="n">
        <v>0.1670551873044168</v>
      </c>
      <c r="I235" s="3" t="n">
        <v>0.2580869798529835</v>
      </c>
      <c r="J235" t="n">
        <v>85.8</v>
      </c>
      <c r="K235">
        <f>IF(IFERROR(INDEX(Spots!$K$2:$K$96,MATCH(A235,Spots!$A$2:$A$96,0)),"")="","",IFERROR(INDEX(Spots!$K$2:$K$96,MATCH(A235,Spots!$A$2:$A$96,0)),""))</f>
        <v/>
      </c>
      <c r="L235" s="3">
        <f>IF(OR(K235="",F235=""),"",F235/1000*K235*100)</f>
        <v/>
      </c>
      <c r="M235">
        <f>IF(OR(L235="",L235=0),"",ROUND(100/L235,0))</f>
        <v/>
      </c>
      <c r="N235" t="inlineStr"/>
    </row>
    <row r="236">
      <c r="A236" t="n">
        <v>86</v>
      </c>
      <c r="B236" t="inlineStr">
        <is>
          <t>Cadry Ruins</t>
        </is>
      </c>
      <c r="C236" t="inlineStr">
        <is>
          <t>Ring of Cadry Guardian</t>
        </is>
      </c>
      <c r="D236" t="n">
        <v>0.73732572</v>
      </c>
      <c r="E236" t="n">
        <v>4420.8</v>
      </c>
      <c r="F236" s="3" t="n">
        <v>0.1667855863192182</v>
      </c>
      <c r="G236" t="n">
        <v>5996</v>
      </c>
      <c r="H236" s="3" t="n">
        <v>0.1296328921706424</v>
      </c>
      <c r="I236" s="3" t="n">
        <v>0.211267405536798</v>
      </c>
      <c r="J236" t="n">
        <v>68.5</v>
      </c>
      <c r="K236">
        <f>IF(IFERROR(INDEX(Spots!$K$2:$K$96,MATCH(A236,Spots!$A$2:$A$96,0)),"")="","",IFERROR(INDEX(Spots!$K$2:$K$96,MATCH(A236,Spots!$A$2:$A$96,0)),""))</f>
        <v/>
      </c>
      <c r="L236" s="3">
        <f>IF(OR(K236="",F236=""),"",F236/1000*K236*100)</f>
        <v/>
      </c>
      <c r="M236">
        <f>IF(OR(L236="",L236=0),"",ROUND(100/L236,0))</f>
        <v/>
      </c>
      <c r="N236" t="inlineStr"/>
    </row>
    <row r="237">
      <c r="A237" t="n">
        <v>86</v>
      </c>
      <c r="B237" t="inlineStr">
        <is>
          <t>Cadry Ruins</t>
        </is>
      </c>
      <c r="C237" t="inlineStr">
        <is>
          <t>Imperfect Lightstone of Earth</t>
        </is>
      </c>
      <c r="D237" t="n">
        <v>0.45276418</v>
      </c>
      <c r="E237" t="n">
        <v>4420.8</v>
      </c>
      <c r="F237" s="3" t="n">
        <v>0.1024167978646399</v>
      </c>
      <c r="G237" t="n">
        <v>9764</v>
      </c>
      <c r="H237" s="3" t="n">
        <v>0.07382169332158549</v>
      </c>
      <c r="I237" s="3" t="n">
        <v>0.1384152742739778</v>
      </c>
      <c r="J237" t="n">
        <v>42.1</v>
      </c>
      <c r="K237">
        <f>IF(IFERROR(INDEX(Spots!$K$2:$K$96,MATCH(A237,Spots!$A$2:$A$96,0)),"")="","",IFERROR(INDEX(Spots!$K$2:$K$96,MATCH(A237,Spots!$A$2:$A$96,0)),""))</f>
        <v/>
      </c>
      <c r="L237" s="3">
        <f>IF(OR(K237="",F237=""),"",F237/1000*K237*100)</f>
        <v/>
      </c>
      <c r="M237">
        <f>IF(OR(L237="",L237=0),"",ROUND(100/L237,0))</f>
        <v/>
      </c>
      <c r="N237" t="inlineStr"/>
    </row>
    <row r="238">
      <c r="A238" t="n">
        <v>86</v>
      </c>
      <c r="B238" t="inlineStr">
        <is>
          <t>Cadry Ruins</t>
        </is>
      </c>
      <c r="C238" t="inlineStr">
        <is>
          <t>Any Artifact</t>
        </is>
      </c>
      <c r="D238" t="n">
        <v>0.18905449</v>
      </c>
      <c r="E238" t="n">
        <v>4420.8</v>
      </c>
      <c r="F238" s="3" t="n">
        <v>0.04276476882012305</v>
      </c>
      <c r="G238" t="n">
        <v>23384</v>
      </c>
      <c r="H238" s="3" t="n">
        <v>0.02514488946500644</v>
      </c>
      <c r="I238" s="3" t="n">
        <v>0.06796917697996716</v>
      </c>
      <c r="J238" t="n">
        <v>17.6</v>
      </c>
      <c r="K238">
        <f>IF(IFERROR(INDEX(Spots!$K$2:$K$96,MATCH(A238,Spots!$A$2:$A$96,0)),"")="","",IFERROR(INDEX(Spots!$K$2:$K$96,MATCH(A238,Spots!$A$2:$A$96,0)),""))</f>
        <v/>
      </c>
      <c r="L238" s="3">
        <f>IF(OR(K238="",F238=""),"",F238/1000*K238*100)</f>
        <v/>
      </c>
      <c r="M238">
        <f>IF(OR(L238="",L238=0),"",ROUND(100/L238,0))</f>
        <v/>
      </c>
      <c r="N238" t="inlineStr">
        <is>
          <t>low sample</t>
        </is>
      </c>
    </row>
    <row r="239">
      <c r="A239" t="n">
        <v>86</v>
      </c>
      <c r="B239" t="inlineStr">
        <is>
          <t>Cadry Ruins</t>
        </is>
      </c>
      <c r="C239" t="inlineStr">
        <is>
          <t>Imperfect Lightstone of Fire</t>
        </is>
      </c>
      <c r="D239" t="n">
        <v>0.1430405</v>
      </c>
      <c r="E239" t="n">
        <v>4420.8</v>
      </c>
      <c r="F239" s="3" t="n">
        <v>0.03235624773796597</v>
      </c>
      <c r="G239" t="n">
        <v>30906</v>
      </c>
      <c r="H239" s="3" t="n">
        <v>0.0173485088602128</v>
      </c>
      <c r="I239" s="3" t="n">
        <v>0.05502209274356846</v>
      </c>
      <c r="J239" t="n">
        <v>13.3</v>
      </c>
      <c r="K239">
        <f>IF(IFERROR(INDEX(Spots!$K$2:$K$96,MATCH(A239,Spots!$A$2:$A$96,0)),"")="","",IFERROR(INDEX(Spots!$K$2:$K$96,MATCH(A239,Spots!$A$2:$A$96,0)),""))</f>
        <v/>
      </c>
      <c r="L239" s="3">
        <f>IF(OR(K239="",F239=""),"",F239/1000*K239*100)</f>
        <v/>
      </c>
      <c r="M239">
        <f>IF(OR(L239="",L239=0),"",ROUND(100/L239,0))</f>
        <v/>
      </c>
      <c r="N239" t="inlineStr">
        <is>
          <t>low sample</t>
        </is>
      </c>
    </row>
    <row r="240">
      <c r="A240" t="n">
        <v>86</v>
      </c>
      <c r="B240" t="inlineStr">
        <is>
          <t>Cadry Ruins</t>
        </is>
      </c>
      <c r="C240" t="inlineStr">
        <is>
          <t>Imperfect Lightstone of Wind</t>
        </is>
      </c>
      <c r="D240" t="n">
        <v>0.10046054</v>
      </c>
      <c r="E240" t="n">
        <v>4420.8</v>
      </c>
      <c r="F240" s="3" t="n">
        <v>0.02272451592471951</v>
      </c>
      <c r="G240" t="n">
        <v>44005</v>
      </c>
      <c r="H240" s="3" t="n">
        <v>0.0105457306937014</v>
      </c>
      <c r="I240" s="3" t="n">
        <v>0.0426671614533216</v>
      </c>
      <c r="J240" t="n">
        <v>9.300000000000001</v>
      </c>
      <c r="K240">
        <f>IF(IFERROR(INDEX(Spots!$K$2:$K$96,MATCH(A240,Spots!$A$2:$A$96,0)),"")="","",IFERROR(INDEX(Spots!$K$2:$K$96,MATCH(A240,Spots!$A$2:$A$96,0)),""))</f>
        <v/>
      </c>
      <c r="L240" s="3">
        <f>IF(OR(K240="",F240=""),"",F240/1000*K240*100)</f>
        <v/>
      </c>
      <c r="M240">
        <f>IF(OR(L240="",L240=0),"",ROUND(100/L240,0))</f>
        <v/>
      </c>
      <c r="N240" t="inlineStr">
        <is>
          <t>low sample</t>
        </is>
      </c>
    </row>
    <row r="241">
      <c r="A241" t="n">
        <v>86</v>
      </c>
      <c r="B241" t="inlineStr">
        <is>
          <t>Cadry Ruins</t>
        </is>
      </c>
      <c r="C241" t="inlineStr">
        <is>
          <t>Serap's Necklace</t>
        </is>
      </c>
      <c r="D241" t="n">
        <v>0.03634648</v>
      </c>
      <c r="E241" t="n">
        <v>4420.8</v>
      </c>
      <c r="F241" s="3" t="n">
        <v>0.008221697430329352</v>
      </c>
      <c r="G241" t="n">
        <v>121629</v>
      </c>
      <c r="H241" s="3" t="n">
        <v>0.001880060963333088</v>
      </c>
      <c r="I241" s="3" t="n">
        <v>0.02271425617363267</v>
      </c>
      <c r="J241" t="n">
        <v>3.4</v>
      </c>
      <c r="K241">
        <f>IF(IFERROR(INDEX(Spots!$K$2:$K$96,MATCH(A241,Spots!$A$2:$A$96,0)),"")="","",IFERROR(INDEX(Spots!$K$2:$K$96,MATCH(A241,Spots!$A$2:$A$96,0)),""))</f>
        <v/>
      </c>
      <c r="L241" s="3">
        <f>IF(OR(K241="",F241=""),"",F241/1000*K241*100)</f>
        <v/>
      </c>
      <c r="M241">
        <f>IF(OR(L241="",L241=0),"",ROUND(100/L241,0))</f>
        <v/>
      </c>
      <c r="N241" t="inlineStr">
        <is>
          <t>low sample</t>
        </is>
      </c>
    </row>
    <row r="242">
      <c r="A242" t="n">
        <v>86</v>
      </c>
      <c r="B242" t="inlineStr">
        <is>
          <t>Cadry Ruins</t>
        </is>
      </c>
      <c r="C242" t="inlineStr">
        <is>
          <t>Specter's Energy</t>
        </is>
      </c>
      <c r="D242" t="n">
        <v>0.03168323</v>
      </c>
      <c r="E242" t="n">
        <v>4420.8</v>
      </c>
      <c r="F242" s="3" t="n">
        <v>0.007166854415490409</v>
      </c>
      <c r="G242" t="n">
        <v>139531</v>
      </c>
      <c r="H242" s="3" t="n">
        <v>0.001408460981126181</v>
      </c>
      <c r="I242" s="3" t="n">
        <v>0.02113722611999241</v>
      </c>
      <c r="J242" t="n">
        <v>2.9</v>
      </c>
      <c r="K242">
        <f>IF(IFERROR(INDEX(Spots!$K$2:$K$96,MATCH(A242,Spots!$A$2:$A$96,0)),"")="","",IFERROR(INDEX(Spots!$K$2:$K$96,MATCH(A242,Spots!$A$2:$A$96,0)),""))</f>
        <v/>
      </c>
      <c r="L242" s="3">
        <f>IF(OR(K242="",F242=""),"",F242/1000*K242*100)</f>
        <v/>
      </c>
      <c r="M242">
        <f>IF(OR(L242="",L242=0),"",ROUND(100/L242,0))</f>
        <v/>
      </c>
      <c r="N242" t="inlineStr">
        <is>
          <t>low sample</t>
        </is>
      </c>
    </row>
    <row r="243">
      <c r="A243" t="n">
        <v>86</v>
      </c>
      <c r="B243" t="inlineStr">
        <is>
          <t>Cadry Ruins</t>
        </is>
      </c>
      <c r="C243" t="inlineStr">
        <is>
          <t>Great Marni's Stone (Cadry)</t>
        </is>
      </c>
      <c r="D243" t="n">
        <v>0.00772249</v>
      </c>
      <c r="E243" t="n">
        <v>4420.8</v>
      </c>
      <c r="F243" s="3" t="n">
        <v>0.001746853510676801</v>
      </c>
      <c r="G243" t="n">
        <v>572458</v>
      </c>
      <c r="H243" s="3" t="n">
        <v>6.987971330555151e-07</v>
      </c>
      <c r="I243" s="3" t="n">
        <v>0.01232876011227756</v>
      </c>
      <c r="J243" t="n">
        <v>0.7</v>
      </c>
      <c r="K243">
        <f>IF(IFERROR(INDEX(Spots!$K$2:$K$96,MATCH(A243,Spots!$A$2:$A$96,0)),"")="","",IFERROR(INDEX(Spots!$K$2:$K$96,MATCH(A243,Spots!$A$2:$A$96,0)),""))</f>
        <v/>
      </c>
      <c r="L243" s="3">
        <f>IF(OR(K243="",F243=""),"",F243/1000*K243*100)</f>
        <v/>
      </c>
      <c r="M243">
        <f>IF(OR(L243="",L243=0),"",ROUND(100/L243,0))</f>
        <v/>
      </c>
      <c r="N243" t="inlineStr">
        <is>
          <t>low sample</t>
        </is>
      </c>
    </row>
    <row r="244">
      <c r="A244" t="n">
        <v>16</v>
      </c>
      <c r="B244" t="inlineStr">
        <is>
          <t>Castle Ruins</t>
        </is>
      </c>
      <c r="C244" t="inlineStr">
        <is>
          <t>Black Stone</t>
        </is>
      </c>
      <c r="D244" t="n">
        <v>41.311</v>
      </c>
      <c r="E244" t="n">
        <v>5069.4</v>
      </c>
      <c r="F244" s="3" t="n">
        <v>8.14909062216436</v>
      </c>
      <c r="G244" t="n">
        <v>123</v>
      </c>
      <c r="H244" s="3" t="n">
        <v>7.695643154861485</v>
      </c>
      <c r="I244" s="3" t="n">
        <v>8.622280759910396</v>
      </c>
      <c r="J244" t="n">
        <v>1206.3</v>
      </c>
      <c r="K244">
        <f>IF(IFERROR(INDEX(Spots!$K$2:$K$96,MATCH(A244,Spots!$A$2:$A$96,0)),"")="","",IFERROR(INDEX(Spots!$K$2:$K$96,MATCH(A244,Spots!$A$2:$A$96,0)),""))</f>
        <v/>
      </c>
      <c r="L244" s="3">
        <f>IF(OR(K244="",F244=""),"",F244/1000*K244*100)</f>
        <v/>
      </c>
      <c r="M244">
        <f>IF(OR(L244="",L244=0),"",ROUND(100/L244,0))</f>
        <v/>
      </c>
      <c r="N244" t="inlineStr">
        <is>
          <t>low sample</t>
        </is>
      </c>
    </row>
    <row r="245">
      <c r="A245" t="n">
        <v>16</v>
      </c>
      <c r="B245" t="inlineStr">
        <is>
          <t>Castle Ruins</t>
        </is>
      </c>
      <c r="C245" t="inlineStr">
        <is>
          <t>Trace of Nature</t>
        </is>
      </c>
      <c r="D245" t="n">
        <v>19.426</v>
      </c>
      <c r="E245" t="n">
        <v>5069.4</v>
      </c>
      <c r="F245" s="3" t="n">
        <v>3.832011677910601</v>
      </c>
      <c r="G245" t="n">
        <v>261</v>
      </c>
      <c r="H245" s="3" t="n">
        <v>3.523098669552674</v>
      </c>
      <c r="I245" s="3" t="n">
        <v>4.160753330187128</v>
      </c>
      <c r="J245" t="n">
        <v>567.2</v>
      </c>
      <c r="K245">
        <f>IF(IFERROR(INDEX(Spots!$K$2:$K$96,MATCH(A245,Spots!$A$2:$A$96,0)),"")="","",IFERROR(INDEX(Spots!$K$2:$K$96,MATCH(A245,Spots!$A$2:$A$96,0)),""))</f>
        <v/>
      </c>
      <c r="L245" s="3">
        <f>IF(OR(K245="",F245=""),"",F245/1000*K245*100)</f>
        <v/>
      </c>
      <c r="M245">
        <f>IF(OR(L245="",L245=0),"",ROUND(100/L245,0))</f>
        <v/>
      </c>
      <c r="N245" t="inlineStr">
        <is>
          <t>low sample</t>
        </is>
      </c>
    </row>
    <row r="246">
      <c r="A246" t="n">
        <v>16</v>
      </c>
      <c r="B246" t="inlineStr">
        <is>
          <t>Castle Ruins</t>
        </is>
      </c>
      <c r="C246" t="inlineStr">
        <is>
          <t>Shard of the Furious Night</t>
        </is>
      </c>
      <c r="D246" t="n">
        <v>3.667933</v>
      </c>
      <c r="E246" t="n">
        <v>5069.4</v>
      </c>
      <c r="F246" s="3" t="n">
        <v>0.7235438118909536</v>
      </c>
      <c r="G246" t="n">
        <v>1382</v>
      </c>
      <c r="H246" s="3" t="n">
        <v>0.5930071727248509</v>
      </c>
      <c r="I246" s="3" t="n">
        <v>0.8742591905129841</v>
      </c>
      <c r="J246" t="n">
        <v>107.1</v>
      </c>
      <c r="K246">
        <f>IF(IFERROR(INDEX(Spots!$K$2:$K$96,MATCH(A246,Spots!$A$2:$A$96,0)),"")="","",IFERROR(INDEX(Spots!$K$2:$K$96,MATCH(A246,Spots!$A$2:$A$96,0)),""))</f>
        <v/>
      </c>
      <c r="L246" s="3">
        <f>IF(OR(K246="",F246=""),"",F246/1000*K246*100)</f>
        <v/>
      </c>
      <c r="M246">
        <f>IF(OR(L246="",L246=0),"",ROUND(100/L246,0))</f>
        <v/>
      </c>
      <c r="N246" t="inlineStr">
        <is>
          <t>low sample</t>
        </is>
      </c>
    </row>
    <row r="247">
      <c r="A247" t="n">
        <v>16</v>
      </c>
      <c r="B247" t="inlineStr">
        <is>
          <t>Castle Ruins</t>
        </is>
      </c>
      <c r="C247" t="inlineStr">
        <is>
          <t>Valtarra's Flame</t>
        </is>
      </c>
      <c r="D247" t="n">
        <v>2.742884</v>
      </c>
      <c r="E247" t="n">
        <v>5069.4</v>
      </c>
      <c r="F247" s="3" t="n">
        <v>0.5410667929143489</v>
      </c>
      <c r="G247" t="n">
        <v>1848</v>
      </c>
      <c r="H247" s="3" t="n">
        <v>0.4290766013098787</v>
      </c>
      <c r="I247" s="3" t="n">
        <v>0.6733307889810248</v>
      </c>
      <c r="J247" t="n">
        <v>80.09999999999999</v>
      </c>
      <c r="K247">
        <f>IF(IFERROR(INDEX(Spots!$K$2:$K$96,MATCH(A247,Spots!$A$2:$A$96,0)),"")="","",IFERROR(INDEX(Spots!$K$2:$K$96,MATCH(A247,Spots!$A$2:$A$96,0)),""))</f>
        <v/>
      </c>
      <c r="L247" s="3">
        <f>IF(OR(K247="",F247=""),"",F247/1000*K247*100)</f>
        <v/>
      </c>
      <c r="M247">
        <f>IF(OR(L247="",L247=0),"",ROUND(100/L247,0))</f>
        <v/>
      </c>
      <c r="N247" t="inlineStr">
        <is>
          <t>low sample</t>
        </is>
      </c>
    </row>
    <row r="248">
      <c r="A248" t="n">
        <v>16</v>
      </c>
      <c r="B248" t="inlineStr">
        <is>
          <t>Castle Ruins</t>
        </is>
      </c>
      <c r="C248" t="inlineStr">
        <is>
          <t>Mass of Pure Magic</t>
        </is>
      </c>
      <c r="D248" t="n">
        <v>1.605616</v>
      </c>
      <c r="E248" t="n">
        <v>5069.4</v>
      </c>
      <c r="F248" s="3" t="n">
        <v>0.3167270288397049</v>
      </c>
      <c r="G248" t="n">
        <v>3157</v>
      </c>
      <c r="H248" s="3" t="n">
        <v>0.2326020341402399</v>
      </c>
      <c r="I248" s="3" t="n">
        <v>0.4213386502018566</v>
      </c>
      <c r="J248" t="n">
        <v>46.9</v>
      </c>
      <c r="K248">
        <f>IF(IFERROR(INDEX(Spots!$K$2:$K$96,MATCH(A248,Spots!$A$2:$A$96,0)),"")="","",IFERROR(INDEX(Spots!$K$2:$K$96,MATCH(A248,Spots!$A$2:$A$96,0)),""))</f>
        <v/>
      </c>
      <c r="L248" s="3">
        <f>IF(OR(K248="",F248=""),"",F248/1000*K248*100)</f>
        <v/>
      </c>
      <c r="M248">
        <f>IF(OR(L248="",L248=0),"",ROUND(100/L248,0))</f>
        <v/>
      </c>
      <c r="N248" t="inlineStr">
        <is>
          <t>low sample</t>
        </is>
      </c>
    </row>
    <row r="249">
      <c r="A249" t="n">
        <v>16</v>
      </c>
      <c r="B249" t="inlineStr">
        <is>
          <t>Castle Ruins</t>
        </is>
      </c>
      <c r="C249" t="inlineStr">
        <is>
          <t>Sealed Black Magic Crystal</t>
        </is>
      </c>
      <c r="D249" t="n">
        <v>1.522367</v>
      </c>
      <c r="E249" t="n">
        <v>5069.4</v>
      </c>
      <c r="F249" s="3" t="n">
        <v>0.3003051643192489</v>
      </c>
      <c r="G249" t="n">
        <v>3330</v>
      </c>
      <c r="H249" s="3" t="n">
        <v>0.2185651204315956</v>
      </c>
      <c r="I249" s="3" t="n">
        <v>0.402556005462275</v>
      </c>
      <c r="J249" t="n">
        <v>44.5</v>
      </c>
      <c r="K249">
        <f>IF(IFERROR(INDEX(Spots!$K$2:$K$96,MATCH(A249,Spots!$A$2:$A$96,0)),"")="","",IFERROR(INDEX(Spots!$K$2:$K$96,MATCH(A249,Spots!$A$2:$A$96,0)),""))</f>
        <v/>
      </c>
      <c r="L249" s="3">
        <f>IF(OR(K249="",F249=""),"",F249/1000*K249*100)</f>
        <v/>
      </c>
      <c r="M249">
        <f>IF(OR(L249="",L249=0),"",ROUND(100/L249,0))</f>
        <v/>
      </c>
      <c r="N249" t="inlineStr">
        <is>
          <t>low sample</t>
        </is>
      </c>
    </row>
    <row r="250">
      <c r="A250" t="n">
        <v>16</v>
      </c>
      <c r="B250" t="inlineStr">
        <is>
          <t>Castle Ruins</t>
        </is>
      </c>
      <c r="C250" t="inlineStr">
        <is>
          <t>Heart of the Arid Forest</t>
        </is>
      </c>
      <c r="D250" t="n">
        <v>1.258754</v>
      </c>
      <c r="E250" t="n">
        <v>5069.4</v>
      </c>
      <c r="F250" s="3" t="n">
        <v>0.2483043358188346</v>
      </c>
      <c r="G250" t="n">
        <v>4027</v>
      </c>
      <c r="H250" s="3" t="n">
        <v>0.1745830306192863</v>
      </c>
      <c r="I250" s="3" t="n">
        <v>0.3426276872350066</v>
      </c>
      <c r="J250" t="n">
        <v>36.8</v>
      </c>
      <c r="K250">
        <f>IF(IFERROR(INDEX(Spots!$K$2:$K$96,MATCH(A250,Spots!$A$2:$A$96,0)),"")="","",IFERROR(INDEX(Spots!$K$2:$K$96,MATCH(A250,Spots!$A$2:$A$96,0)),""))</f>
        <v/>
      </c>
      <c r="L250" s="3">
        <f>IF(OR(K250="",F250=""),"",F250/1000*K250*100)</f>
        <v/>
      </c>
      <c r="M250">
        <f>IF(OR(L250="",L250=0),"",ROUND(100/L250,0))</f>
        <v/>
      </c>
      <c r="N250" t="inlineStr">
        <is>
          <t>low sample</t>
        </is>
      </c>
    </row>
    <row r="251">
      <c r="A251" t="n">
        <v>16</v>
      </c>
      <c r="B251" t="inlineStr">
        <is>
          <t>Castle Ruins</t>
        </is>
      </c>
      <c r="C251" t="inlineStr">
        <is>
          <t>Seed of Void</t>
        </is>
      </c>
      <c r="D251" t="n">
        <v>0.40372373</v>
      </c>
      <c r="E251" t="n">
        <v>5069.4</v>
      </c>
      <c r="F251" s="3" t="n">
        <v>0.07963935179705686</v>
      </c>
      <c r="G251" t="n">
        <v>12557</v>
      </c>
      <c r="H251" s="3" t="n">
        <v>0.04081989888318534</v>
      </c>
      <c r="I251" s="3" t="n">
        <v>0.1397968298277584</v>
      </c>
      <c r="J251" t="n">
        <v>11.8</v>
      </c>
      <c r="K251">
        <f>IF(IFERROR(INDEX(Spots!$K$2:$K$96,MATCH(A251,Spots!$A$2:$A$96,0)),"")="","",IFERROR(INDEX(Spots!$K$2:$K$96,MATCH(A251,Spots!$A$2:$A$96,0)),""))</f>
        <v/>
      </c>
      <c r="L251" s="3">
        <f>IF(OR(K251="",F251=""),"",F251/1000*K251*100)</f>
        <v/>
      </c>
      <c r="M251">
        <f>IF(OR(L251="",L251=0),"",ROUND(100/L251,0))</f>
        <v/>
      </c>
      <c r="N251" t="inlineStr">
        <is>
          <t>low sample</t>
        </is>
      </c>
    </row>
    <row r="252">
      <c r="A252" t="n">
        <v>16</v>
      </c>
      <c r="B252" t="inlineStr">
        <is>
          <t>Castle Ruins</t>
        </is>
      </c>
      <c r="C252" t="inlineStr">
        <is>
          <t>Al Rhundi's Secret Orders</t>
        </is>
      </c>
      <c r="D252" t="n">
        <v>0.18168178</v>
      </c>
      <c r="E252" t="n">
        <v>5069.4</v>
      </c>
      <c r="F252" s="3" t="n">
        <v>0.03583891190278929</v>
      </c>
      <c r="G252" t="n">
        <v>27903</v>
      </c>
      <c r="H252" s="3" t="n">
        <v>0.01205212905477797</v>
      </c>
      <c r="I252" s="3" t="n">
        <v>0.08171690489005375</v>
      </c>
      <c r="J252" t="n">
        <v>5.3</v>
      </c>
      <c r="K252">
        <f>IF(IFERROR(INDEX(Spots!$K$2:$K$96,MATCH(A252,Spots!$A$2:$A$96,0)),"")="","",IFERROR(INDEX(Spots!$K$2:$K$96,MATCH(A252,Spots!$A$2:$A$96,0)),""))</f>
        <v/>
      </c>
      <c r="L252" s="3">
        <f>IF(OR(K252="",F252=""),"",F252/1000*K252*100)</f>
        <v/>
      </c>
      <c r="M252">
        <f>IF(OR(L252="",L252=0),"",ROUND(100/L252,0))</f>
        <v/>
      </c>
      <c r="N252" t="inlineStr">
        <is>
          <t>low sample</t>
        </is>
      </c>
    </row>
    <row r="253">
      <c r="A253" t="n">
        <v>16</v>
      </c>
      <c r="B253" t="inlineStr">
        <is>
          <t>Castle Ruins</t>
        </is>
      </c>
      <c r="C253" t="inlineStr">
        <is>
          <t>Burning Valtarra's Jordun</t>
        </is>
      </c>
      <c r="D253" t="n">
        <v>0.09199031000000001</v>
      </c>
      <c r="E253" t="n">
        <v>5069.4</v>
      </c>
      <c r="F253" s="3" t="n">
        <v>0.01814619284333452</v>
      </c>
      <c r="G253" t="n">
        <v>55108</v>
      </c>
      <c r="H253" s="3" t="n">
        <v>0.003186810790352962</v>
      </c>
      <c r="I253" s="3" t="n">
        <v>0.05600031789020742</v>
      </c>
      <c r="J253" t="n">
        <v>2.7</v>
      </c>
      <c r="K253">
        <f>IF(IFERROR(INDEX(Spots!$K$2:$K$96,MATCH(A253,Spots!$A$2:$A$96,0)),"")="","",IFERROR(INDEX(Spots!$K$2:$K$96,MATCH(A253,Spots!$A$2:$A$96,0)),""))</f>
        <v/>
      </c>
      <c r="L253" s="3">
        <f>IF(OR(K253="",F253=""),"",F253/1000*K253*100)</f>
        <v/>
      </c>
      <c r="M253">
        <f>IF(OR(L253="",L253=0),"",ROUND(100/L253,0))</f>
        <v/>
      </c>
      <c r="N253" t="inlineStr">
        <is>
          <t>low sample</t>
        </is>
      </c>
    </row>
    <row r="254">
      <c r="A254" t="n">
        <v>90</v>
      </c>
      <c r="B254" t="inlineStr">
        <is>
          <t>Centaurus Herd</t>
        </is>
      </c>
      <c r="C254" t="inlineStr">
        <is>
          <t>Black Stone</t>
        </is>
      </c>
      <c r="D254" t="n">
        <v>39.44</v>
      </c>
      <c r="E254" t="n">
        <v>5368.2</v>
      </c>
      <c r="F254" s="3" t="n">
        <v>7.346969188927387</v>
      </c>
      <c r="G254" t="n">
        <v>136</v>
      </c>
      <c r="H254" s="3" t="n">
        <v>7.04367707035092</v>
      </c>
      <c r="I254" s="3" t="n">
        <v>7.659961375949053</v>
      </c>
      <c r="J254" t="n">
        <v>2208</v>
      </c>
      <c r="K254">
        <f>IF(IFERROR(INDEX(Spots!$K$2:$K$96,MATCH(A254,Spots!$A$2:$A$96,0)),"")="","",IFERROR(INDEX(Spots!$K$2:$K$96,MATCH(A254,Spots!$A$2:$A$96,0)),""))</f>
        <v/>
      </c>
      <c r="L254" s="3">
        <f>IF(OR(K254="",F254=""),"",F254/1000*K254*100)</f>
        <v/>
      </c>
      <c r="M254">
        <f>IF(OR(L254="",L254=0),"",ROUND(100/L254,0))</f>
        <v/>
      </c>
      <c r="N254" t="inlineStr"/>
    </row>
    <row r="255">
      <c r="A255" t="n">
        <v>90</v>
      </c>
      <c r="B255" t="inlineStr">
        <is>
          <t>Centaurus Herd</t>
        </is>
      </c>
      <c r="C255" t="inlineStr">
        <is>
          <t>Trace of Nature</t>
        </is>
      </c>
      <c r="D255" t="n">
        <v>9.931976000000001</v>
      </c>
      <c r="E255" t="n">
        <v>5368.2</v>
      </c>
      <c r="F255" s="3" t="n">
        <v>1.850150143437279</v>
      </c>
      <c r="G255" t="n">
        <v>540</v>
      </c>
      <c r="H255" s="3" t="n">
        <v>1.699537726690487</v>
      </c>
      <c r="I255" s="3" t="n">
        <v>2.010530543478577</v>
      </c>
      <c r="J255" t="n">
        <v>556</v>
      </c>
      <c r="K255">
        <f>IF(IFERROR(INDEX(Spots!$K$2:$K$96,MATCH(A255,Spots!$A$2:$A$96,0)),"")="","",IFERROR(INDEX(Spots!$K$2:$K$96,MATCH(A255,Spots!$A$2:$A$96,0)),""))</f>
        <v/>
      </c>
      <c r="L255" s="3">
        <f>IF(OR(K255="",F255=""),"",F255/1000*K255*100)</f>
        <v/>
      </c>
      <c r="M255">
        <f>IF(OR(L255="",L255=0),"",ROUND(100/L255,0))</f>
        <v/>
      </c>
      <c r="N255" t="inlineStr"/>
    </row>
    <row r="256">
      <c r="A256" t="n">
        <v>90</v>
      </c>
      <c r="B256" t="inlineStr">
        <is>
          <t>Centaurus Herd</t>
        </is>
      </c>
      <c r="C256" t="inlineStr">
        <is>
          <t>Caphras Stone</t>
        </is>
      </c>
      <c r="D256" t="n">
        <v>8.904188</v>
      </c>
      <c r="E256" t="n">
        <v>5368.2</v>
      </c>
      <c r="F256" s="3" t="n">
        <v>1.658691553965948</v>
      </c>
      <c r="G256" t="n">
        <v>603</v>
      </c>
      <c r="H256" s="3" t="n">
        <v>1.516254633934873</v>
      </c>
      <c r="I256" s="3" t="n">
        <v>1.810904067972242</v>
      </c>
      <c r="J256" t="n">
        <v>498.5</v>
      </c>
      <c r="K256">
        <f>IF(IFERROR(INDEX(Spots!$K$2:$K$96,MATCH(A256,Spots!$A$2:$A$96,0)),"")="","",IFERROR(INDEX(Spots!$K$2:$K$96,MATCH(A256,Spots!$A$2:$A$96,0)),""))</f>
        <v/>
      </c>
      <c r="L256" s="3">
        <f>IF(OR(K256="",F256=""),"",F256/1000*K256*100)</f>
        <v/>
      </c>
      <c r="M256">
        <f>IF(OR(L256="",L256=0),"",ROUND(100/L256,0))</f>
        <v/>
      </c>
      <c r="N256" t="inlineStr"/>
    </row>
    <row r="257">
      <c r="A257" t="n">
        <v>90</v>
      </c>
      <c r="B257" t="inlineStr">
        <is>
          <t>Centaurus Herd</t>
        </is>
      </c>
      <c r="C257" t="inlineStr">
        <is>
          <t>Sealed Black Magic Crystal</t>
        </is>
      </c>
      <c r="D257" t="n">
        <v>5.778161</v>
      </c>
      <c r="E257" t="n">
        <v>5368.2</v>
      </c>
      <c r="F257" s="3" t="n">
        <v>1.076368428896092</v>
      </c>
      <c r="G257" t="n">
        <v>929</v>
      </c>
      <c r="H257" s="3" t="n">
        <v>0.962249488758651</v>
      </c>
      <c r="I257" s="3" t="n">
        <v>1.200297412695028</v>
      </c>
      <c r="J257" t="n">
        <v>323.5</v>
      </c>
      <c r="K257">
        <f>IF(IFERROR(INDEX(Spots!$K$2:$K$96,MATCH(A257,Spots!$A$2:$A$96,0)),"")="","",IFERROR(INDEX(Spots!$K$2:$K$96,MATCH(A257,Spots!$A$2:$A$96,0)),""))</f>
        <v/>
      </c>
      <c r="L257" s="3">
        <f>IF(OR(K257="",F257=""),"",F257/1000*K257*100)</f>
        <v/>
      </c>
      <c r="M257">
        <f>IF(OR(L257="",L257=0),"",ROUND(100/L257,0))</f>
        <v/>
      </c>
      <c r="N257" t="inlineStr"/>
    </row>
    <row r="258">
      <c r="A258" t="n">
        <v>90</v>
      </c>
      <c r="B258" t="inlineStr">
        <is>
          <t>Centaurus Herd</t>
        </is>
      </c>
      <c r="C258" t="inlineStr">
        <is>
          <t>Scroll Written in Ancient Language</t>
        </is>
      </c>
      <c r="D258" t="n">
        <v>5.053587</v>
      </c>
      <c r="E258" t="n">
        <v>5368.2</v>
      </c>
      <c r="F258" s="3" t="n">
        <v>0.9413932044260648</v>
      </c>
      <c r="G258" t="n">
        <v>1062</v>
      </c>
      <c r="H258" s="3" t="n">
        <v>0.834876923319338</v>
      </c>
      <c r="I258" s="3" t="n">
        <v>1.057731761062307</v>
      </c>
      <c r="J258" t="n">
        <v>282.9</v>
      </c>
      <c r="K258">
        <f>IF(IFERROR(INDEX(Spots!$K$2:$K$96,MATCH(A258,Spots!$A$2:$A$96,0)),"")="","",IFERROR(INDEX(Spots!$K$2:$K$96,MATCH(A258,Spots!$A$2:$A$96,0)),""))</f>
        <v/>
      </c>
      <c r="L258" s="3">
        <f>IF(OR(K258="",F258=""),"",F258/1000*K258*100)</f>
        <v/>
      </c>
      <c r="M258">
        <f>IF(OR(L258="",L258=0),"",ROUND(100/L258,0))</f>
        <v/>
      </c>
      <c r="N258" t="inlineStr"/>
    </row>
    <row r="259">
      <c r="A259" t="n">
        <v>90</v>
      </c>
      <c r="B259" t="inlineStr">
        <is>
          <t>Centaurus Herd</t>
        </is>
      </c>
      <c r="C259" t="inlineStr">
        <is>
          <t>Rocaba Defense Gear Box</t>
        </is>
      </c>
      <c r="D259" t="n">
        <v>2.198438</v>
      </c>
      <c r="E259" t="n">
        <v>5368.2</v>
      </c>
      <c r="F259" s="3" t="n">
        <v>0.4095298237770575</v>
      </c>
      <c r="G259" t="n">
        <v>2442</v>
      </c>
      <c r="H259" s="3" t="n">
        <v>0.3403729194628828</v>
      </c>
      <c r="I259" s="3" t="n">
        <v>0.4886055835720008</v>
      </c>
      <c r="J259" t="n">
        <v>123.1</v>
      </c>
      <c r="K259">
        <f>IF(IFERROR(INDEX(Spots!$K$2:$K$96,MATCH(A259,Spots!$A$2:$A$96,0)),"")="","",IFERROR(INDEX(Spots!$K$2:$K$96,MATCH(A259,Spots!$A$2:$A$96,0)),""))</f>
        <v/>
      </c>
      <c r="L259" s="3">
        <f>IF(OR(K259="",F259=""),"",F259/1000*K259*100)</f>
        <v/>
      </c>
      <c r="M259">
        <f>IF(OR(L259="",L259=0),"",ROUND(100/L259,0))</f>
        <v/>
      </c>
      <c r="N259" t="inlineStr"/>
    </row>
    <row r="260">
      <c r="A260" t="n">
        <v>90</v>
      </c>
      <c r="B260" t="inlineStr">
        <is>
          <t>Centaurus Herd</t>
        </is>
      </c>
      <c r="C260" t="inlineStr">
        <is>
          <t>Shattered Belt</t>
        </is>
      </c>
      <c r="D260" t="n">
        <v>1.943434</v>
      </c>
      <c r="E260" t="n">
        <v>5368.2</v>
      </c>
      <c r="F260" s="3" t="n">
        <v>0.362027122685444</v>
      </c>
      <c r="G260" t="n">
        <v>2762</v>
      </c>
      <c r="H260" s="3" t="n">
        <v>0.2971983352511265</v>
      </c>
      <c r="I260" s="3" t="n">
        <v>0.4367926327095241</v>
      </c>
      <c r="J260" t="n">
        <v>108.8</v>
      </c>
      <c r="K260">
        <f>IF(IFERROR(INDEX(Spots!$K$2:$K$96,MATCH(A260,Spots!$A$2:$A$96,0)),"")="","",IFERROR(INDEX(Spots!$K$2:$K$96,MATCH(A260,Spots!$A$2:$A$96,0)),""))</f>
        <v/>
      </c>
      <c r="L260" s="3">
        <f>IF(OR(K260="",F260=""),"",F260/1000*K260*100)</f>
        <v/>
      </c>
      <c r="M260">
        <f>IF(OR(L260="",L260=0),"",ROUND(100/L260,0))</f>
        <v/>
      </c>
      <c r="N260" t="inlineStr"/>
    </row>
    <row r="261">
      <c r="A261" t="n">
        <v>90</v>
      </c>
      <c r="B261" t="inlineStr">
        <is>
          <t>Centaurus Herd</t>
        </is>
      </c>
      <c r="C261" t="inlineStr">
        <is>
          <t>Ancient Spirit Dust</t>
        </is>
      </c>
      <c r="D261" t="n">
        <v>1.815396</v>
      </c>
      <c r="E261" t="n">
        <v>5368.2</v>
      </c>
      <c r="F261" s="3" t="n">
        <v>0.3381759248910249</v>
      </c>
      <c r="G261" t="n">
        <v>2957</v>
      </c>
      <c r="H261" s="3" t="n">
        <v>0.2756277100745229</v>
      </c>
      <c r="I261" s="3" t="n">
        <v>0.4106711967156983</v>
      </c>
      <c r="J261" t="n">
        <v>101.6</v>
      </c>
      <c r="K261">
        <f>IF(IFERROR(INDEX(Spots!$K$2:$K$96,MATCH(A261,Spots!$A$2:$A$96,0)),"")="","",IFERROR(INDEX(Spots!$K$2:$K$96,MATCH(A261,Spots!$A$2:$A$96,0)),""))</f>
        <v/>
      </c>
      <c r="L261" s="3">
        <f>IF(OR(K261="",F261=""),"",F261/1000*K261*100)</f>
        <v/>
      </c>
      <c r="M261">
        <f>IF(OR(L261="",L261=0),"",ROUND(100/L261,0))</f>
        <v/>
      </c>
      <c r="N261" t="inlineStr"/>
    </row>
    <row r="262">
      <c r="A262" t="n">
        <v>90</v>
      </c>
      <c r="B262" t="inlineStr">
        <is>
          <t>Centaurus Herd</t>
        </is>
      </c>
      <c r="C262" t="inlineStr">
        <is>
          <t>Yona's Fragment</t>
        </is>
      </c>
      <c r="D262" t="n">
        <v>1.247071</v>
      </c>
      <c r="E262" t="n">
        <v>5368.2</v>
      </c>
      <c r="F262" s="3" t="n">
        <v>0.2323071048023546</v>
      </c>
      <c r="G262" t="n">
        <v>4305</v>
      </c>
      <c r="H262" s="3" t="n">
        <v>0.1810227533030541</v>
      </c>
      <c r="I262" s="3" t="n">
        <v>0.2936018073797675</v>
      </c>
      <c r="J262" t="n">
        <v>69.8</v>
      </c>
      <c r="K262">
        <f>IF(IFERROR(INDEX(Spots!$K$2:$K$96,MATCH(A262,Spots!$A$2:$A$96,0)),"")="","",IFERROR(INDEX(Spots!$K$2:$K$96,MATCH(A262,Spots!$A$2:$A$96,0)),""))</f>
        <v/>
      </c>
      <c r="L262" s="3">
        <f>IF(OR(K262="",F262=""),"",F262/1000*K262*100)</f>
        <v/>
      </c>
      <c r="M262">
        <f>IF(OR(L262="",L262=0),"",ROUND(100/L262,0))</f>
        <v/>
      </c>
      <c r="N262" t="inlineStr"/>
    </row>
    <row r="263">
      <c r="A263" t="n">
        <v>90</v>
      </c>
      <c r="B263" t="inlineStr">
        <is>
          <t>Centaurus Herd</t>
        </is>
      </c>
      <c r="C263" t="inlineStr">
        <is>
          <t>Mass of Pure Magic</t>
        </is>
      </c>
      <c r="D263" t="n">
        <v>0.9029634</v>
      </c>
      <c r="E263" t="n">
        <v>5368.2</v>
      </c>
      <c r="F263" s="3" t="n">
        <v>0.1682059908349167</v>
      </c>
      <c r="G263" t="n">
        <v>5945</v>
      </c>
      <c r="H263" s="3" t="n">
        <v>0.1250543626149245</v>
      </c>
      <c r="I263" s="3" t="n">
        <v>0.2214319931880739</v>
      </c>
      <c r="J263" t="n">
        <v>50.6</v>
      </c>
      <c r="K263">
        <f>IF(IFERROR(INDEX(Spots!$K$2:$K$96,MATCH(A263,Spots!$A$2:$A$96,0)),"")="","",IFERROR(INDEX(Spots!$K$2:$K$96,MATCH(A263,Spots!$A$2:$A$96,0)),""))</f>
        <v/>
      </c>
      <c r="L263" s="3">
        <f>IF(OR(K263="",F263=""),"",F263/1000*K263*100)</f>
        <v/>
      </c>
      <c r="M263">
        <f>IF(OR(L263="",L263=0),"",ROUND(100/L263,0))</f>
        <v/>
      </c>
      <c r="N263" t="inlineStr"/>
    </row>
    <row r="264">
      <c r="A264" t="n">
        <v>90</v>
      </c>
      <c r="B264" t="inlineStr">
        <is>
          <t>Centaurus Herd</t>
        </is>
      </c>
      <c r="C264" t="inlineStr">
        <is>
          <t>Imperfect Lightstone of Wind</t>
        </is>
      </c>
      <c r="D264" t="n">
        <v>0.40821521</v>
      </c>
      <c r="E264" t="n">
        <v>5368.2</v>
      </c>
      <c r="F264" s="3" t="n">
        <v>0.07604321932863903</v>
      </c>
      <c r="G264" t="n">
        <v>13150</v>
      </c>
      <c r="H264" s="3" t="n">
        <v>0.04811038321316838</v>
      </c>
      <c r="I264" s="3" t="n">
        <v>0.1142541152664837</v>
      </c>
      <c r="J264" t="n">
        <v>22.9</v>
      </c>
      <c r="K264">
        <f>IF(IFERROR(INDEX(Spots!$K$2:$K$96,MATCH(A264,Spots!$A$2:$A$96,0)),"")="","",IFERROR(INDEX(Spots!$K$2:$K$96,MATCH(A264,Spots!$A$2:$A$96,0)),""))</f>
        <v/>
      </c>
      <c r="L264" s="3">
        <f>IF(OR(K264="",F264=""),"",F264/1000*K264*100)</f>
        <v/>
      </c>
      <c r="M264">
        <f>IF(OR(L264="",L264=0),"",ROUND(100/L264,0))</f>
        <v/>
      </c>
      <c r="N264" t="inlineStr">
        <is>
          <t>low sample</t>
        </is>
      </c>
    </row>
    <row r="265">
      <c r="A265" t="n">
        <v>90</v>
      </c>
      <c r="B265" t="inlineStr">
        <is>
          <t>Centaurus Herd</t>
        </is>
      </c>
      <c r="C265" t="inlineStr">
        <is>
          <t>Centaurus Belt</t>
        </is>
      </c>
      <c r="D265" t="n">
        <v>0.37058447</v>
      </c>
      <c r="E265" t="n">
        <v>5368.2</v>
      </c>
      <c r="F265" s="3" t="n">
        <v>0.06903328303714466</v>
      </c>
      <c r="G265" t="n">
        <v>14486</v>
      </c>
      <c r="H265" s="3" t="n">
        <v>0.04257594659054437</v>
      </c>
      <c r="I265" s="3" t="n">
        <v>0.1057987112446162</v>
      </c>
      <c r="J265" t="n">
        <v>20.7</v>
      </c>
      <c r="K265">
        <f>IF(IFERROR(INDEX(Spots!$K$2:$K$96,MATCH(A265,Spots!$A$2:$A$96,0)),"")="","",IFERROR(INDEX(Spots!$K$2:$K$96,MATCH(A265,Spots!$A$2:$A$96,0)),""))</f>
        <v/>
      </c>
      <c r="L265" s="3">
        <f>IF(OR(K265="",F265=""),"",F265/1000*K265*100)</f>
        <v/>
      </c>
      <c r="M265">
        <f>IF(OR(L265="",L265=0),"",ROUND(100/L265,0))</f>
        <v/>
      </c>
      <c r="N265" t="inlineStr">
        <is>
          <t>low sample</t>
        </is>
      </c>
    </row>
    <row r="266">
      <c r="A266" t="n">
        <v>90</v>
      </c>
      <c r="B266" t="inlineStr">
        <is>
          <t>Centaurus Herd</t>
        </is>
      </c>
      <c r="C266" t="inlineStr">
        <is>
          <t>Any Artifact</t>
        </is>
      </c>
      <c r="D266" t="n">
        <v>0.09637308999999999</v>
      </c>
      <c r="E266" t="n">
        <v>5368.2</v>
      </c>
      <c r="F266" s="3" t="n">
        <v>0.01795258932230543</v>
      </c>
      <c r="G266" t="n">
        <v>55702</v>
      </c>
      <c r="H266" s="3" t="n">
        <v>0.006108604392348705</v>
      </c>
      <c r="I266" s="3" t="n">
        <v>0.04066872382065541</v>
      </c>
      <c r="J266" t="n">
        <v>5.4</v>
      </c>
      <c r="K266">
        <f>IF(IFERROR(INDEX(Spots!$K$2:$K$96,MATCH(A266,Spots!$A$2:$A$96,0)),"")="","",IFERROR(INDEX(Spots!$K$2:$K$96,MATCH(A266,Spots!$A$2:$A$96,0)),""))</f>
        <v/>
      </c>
      <c r="L266" s="3">
        <f>IF(OR(K266="",F266=""),"",F266/1000*K266*100)</f>
        <v/>
      </c>
      <c r="M266">
        <f>IF(OR(L266="",L266=0),"",ROUND(100/L266,0))</f>
        <v/>
      </c>
      <c r="N266" t="inlineStr">
        <is>
          <t>low sample</t>
        </is>
      </c>
    </row>
    <row r="267">
      <c r="A267" t="n">
        <v>90</v>
      </c>
      <c r="B267" t="inlineStr">
        <is>
          <t>Centaurus Herd</t>
        </is>
      </c>
      <c r="C267" t="inlineStr">
        <is>
          <t>Imperfect Lightstone of Earth</t>
        </is>
      </c>
      <c r="D267" t="n">
        <v>0.08139469000000001</v>
      </c>
      <c r="E267" t="n">
        <v>5368.2</v>
      </c>
      <c r="F267" s="3" t="n">
        <v>0.01516238031369919</v>
      </c>
      <c r="G267" t="n">
        <v>65953</v>
      </c>
      <c r="H267" s="3" t="n">
        <v>0.004551213582121073</v>
      </c>
      <c r="I267" s="3" t="n">
        <v>0.03673713101324699</v>
      </c>
      <c r="J267" t="n">
        <v>4.6</v>
      </c>
      <c r="K267">
        <f>IF(IFERROR(INDEX(Spots!$K$2:$K$96,MATCH(A267,Spots!$A$2:$A$96,0)),"")="","",IFERROR(INDEX(Spots!$K$2:$K$96,MATCH(A267,Spots!$A$2:$A$96,0)),""))</f>
        <v/>
      </c>
      <c r="L267" s="3">
        <f>IF(OR(K267="",F267=""),"",F267/1000*K267*100)</f>
        <v/>
      </c>
      <c r="M267">
        <f>IF(OR(L267="",L267=0),"",ROUND(100/L267,0))</f>
        <v/>
      </c>
      <c r="N267" t="inlineStr">
        <is>
          <t>low sample</t>
        </is>
      </c>
    </row>
    <row r="268">
      <c r="A268" t="n">
        <v>90</v>
      </c>
      <c r="B268" t="inlineStr">
        <is>
          <t>Centaurus Herd</t>
        </is>
      </c>
      <c r="C268" t="inlineStr">
        <is>
          <t>Imperfect Lightstone of Fire</t>
        </is>
      </c>
      <c r="D268" t="n">
        <v>0.05273555</v>
      </c>
      <c r="E268" t="n">
        <v>5368.2</v>
      </c>
      <c r="F268" s="3" t="n">
        <v>0.009823693230505569</v>
      </c>
      <c r="G268" t="n">
        <v>101795</v>
      </c>
      <c r="H268" s="3" t="n">
        <v>0.001937898088781982</v>
      </c>
      <c r="I268" s="3" t="n">
        <v>0.02892766946408478</v>
      </c>
      <c r="J268" t="n">
        <v>3</v>
      </c>
      <c r="K268">
        <f>IF(IFERROR(INDEX(Spots!$K$2:$K$96,MATCH(A268,Spots!$A$2:$A$96,0)),"")="","",IFERROR(INDEX(Spots!$K$2:$K$96,MATCH(A268,Spots!$A$2:$A$96,0)),""))</f>
        <v/>
      </c>
      <c r="L268" s="3">
        <f>IF(OR(K268="",F268=""),"",F268/1000*K268*100)</f>
        <v/>
      </c>
      <c r="M268">
        <f>IF(OR(L268="",L268=0),"",ROUND(100/L268,0))</f>
        <v/>
      </c>
      <c r="N268" t="inlineStr">
        <is>
          <t>low sample</t>
        </is>
      </c>
    </row>
    <row r="269">
      <c r="A269" t="n">
        <v>90</v>
      </c>
      <c r="B269" t="inlineStr">
        <is>
          <t>Centaurus Herd</t>
        </is>
      </c>
      <c r="C269" t="inlineStr">
        <is>
          <t>Specter's Energy</t>
        </is>
      </c>
      <c r="D269" t="n">
        <v>0.03452161</v>
      </c>
      <c r="E269" t="n">
        <v>5368.2</v>
      </c>
      <c r="F269" s="3" t="n">
        <v>0.006430760776424128</v>
      </c>
      <c r="G269" t="n">
        <v>155503</v>
      </c>
      <c r="H269" s="3" t="n">
        <v>0.00067858296546577</v>
      </c>
      <c r="I269" s="3" t="n">
        <v>0.02367020171118098</v>
      </c>
      <c r="J269" t="n">
        <v>1.9</v>
      </c>
      <c r="K269">
        <f>IF(IFERROR(INDEX(Spots!$K$2:$K$96,MATCH(A269,Spots!$A$2:$A$96,0)),"")="","",IFERROR(INDEX(Spots!$K$2:$K$96,MATCH(A269,Spots!$A$2:$A$96,0)),""))</f>
        <v/>
      </c>
      <c r="L269" s="3">
        <f>IF(OR(K269="",F269=""),"",F269/1000*K269*100)</f>
        <v/>
      </c>
      <c r="M269">
        <f>IF(OR(L269="",L269=0),"",ROUND(100/L269,0))</f>
        <v/>
      </c>
      <c r="N269" t="inlineStr">
        <is>
          <t>low sample</t>
        </is>
      </c>
    </row>
    <row r="270">
      <c r="A270" t="n">
        <v>90</v>
      </c>
      <c r="B270" t="inlineStr">
        <is>
          <t>Centaurus Herd</t>
        </is>
      </c>
      <c r="C270" t="inlineStr">
        <is>
          <t>Great Marni's Stone (Centaurus)</t>
        </is>
      </c>
      <c r="D270" t="n">
        <v>0.01258389</v>
      </c>
      <c r="E270" t="n">
        <v>5368.2</v>
      </c>
      <c r="F270" s="3" t="n">
        <v>0.002344154465183861</v>
      </c>
      <c r="G270" t="n">
        <v>426593</v>
      </c>
      <c r="H270" s="3" t="n">
        <v>6.113357880564119e-07</v>
      </c>
      <c r="I270" s="3" t="n">
        <v>0.01676782533946823</v>
      </c>
      <c r="J270" t="n">
        <v>0.7</v>
      </c>
      <c r="K270">
        <f>IF(IFERROR(INDEX(Spots!$K$2:$K$96,MATCH(A270,Spots!$A$2:$A$96,0)),"")="","",IFERROR(INDEX(Spots!$K$2:$K$96,MATCH(A270,Spots!$A$2:$A$96,0)),""))</f>
        <v/>
      </c>
      <c r="L270" s="3">
        <f>IF(OR(K270="",F270=""),"",F270/1000*K270*100)</f>
        <v/>
      </c>
      <c r="M270">
        <f>IF(OR(L270="",L270=0),"",ROUND(100/L270,0))</f>
        <v/>
      </c>
      <c r="N270" t="inlineStr">
        <is>
          <t>low sample</t>
        </is>
      </c>
    </row>
    <row r="271">
      <c r="A271" t="n">
        <v>147</v>
      </c>
      <c r="B271" t="inlineStr">
        <is>
          <t>City of the Dead</t>
        </is>
      </c>
      <c r="C271" t="inlineStr">
        <is>
          <t>Black Stone</t>
        </is>
      </c>
      <c r="D271" t="n">
        <v>26.83</v>
      </c>
      <c r="E271" t="n">
        <v>9711.6</v>
      </c>
      <c r="F271" s="3" t="n">
        <v>2.762675563243955</v>
      </c>
      <c r="G271" t="n">
        <v>362</v>
      </c>
      <c r="H271" s="3" t="n">
        <v>2.7135647673179</v>
      </c>
      <c r="I271" s="3" t="n">
        <v>2.812452005369753</v>
      </c>
      <c r="J271" t="n">
        <v>12049.8</v>
      </c>
      <c r="K271">
        <f>IF(IFERROR(INDEX(Spots!$K$2:$K$96,MATCH(A271,Spots!$A$2:$A$96,0)),"")="","",IFERROR(INDEX(Spots!$K$2:$K$96,MATCH(A271,Spots!$A$2:$A$96,0)),""))</f>
        <v/>
      </c>
      <c r="L271" s="3">
        <f>IF(OR(K271="",F271=""),"",F271/1000*K271*100)</f>
        <v/>
      </c>
      <c r="M271">
        <f>IF(OR(L271="",L271=0),"",ROUND(100/L271,0))</f>
        <v/>
      </c>
      <c r="N271" t="inlineStr"/>
    </row>
    <row r="272">
      <c r="A272" t="n">
        <v>147</v>
      </c>
      <c r="B272" t="inlineStr">
        <is>
          <t>City of the Dead</t>
        </is>
      </c>
      <c r="C272" t="inlineStr">
        <is>
          <t>Ancient Spirit Dust</t>
        </is>
      </c>
      <c r="D272" t="n">
        <v>24.799</v>
      </c>
      <c r="E272" t="n">
        <v>9711.6</v>
      </c>
      <c r="F272" s="3" t="n">
        <v>2.553544215165369</v>
      </c>
      <c r="G272" t="n">
        <v>392</v>
      </c>
      <c r="H272" s="3" t="n">
        <v>2.506337216883775</v>
      </c>
      <c r="I272" s="3" t="n">
        <v>2.601416941482831</v>
      </c>
      <c r="J272" t="n">
        <v>11137.6</v>
      </c>
      <c r="K272">
        <f>IF(IFERROR(INDEX(Spots!$K$2:$K$96,MATCH(A272,Spots!$A$2:$A$96,0)),"")="","",IFERROR(INDEX(Spots!$K$2:$K$96,MATCH(A272,Spots!$A$2:$A$96,0)),""))</f>
        <v/>
      </c>
      <c r="L272" s="3">
        <f>IF(OR(K272="",F272=""),"",F272/1000*K272*100)</f>
        <v/>
      </c>
      <c r="M272">
        <f>IF(OR(L272="",L272=0),"",ROUND(100/L272,0))</f>
        <v/>
      </c>
      <c r="N272" t="inlineStr"/>
    </row>
    <row r="273">
      <c r="A273" t="n">
        <v>147</v>
      </c>
      <c r="B273" t="inlineStr">
        <is>
          <t>City of the Dead</t>
        </is>
      </c>
      <c r="C273" t="inlineStr">
        <is>
          <t>Trace of Nature</t>
        </is>
      </c>
      <c r="D273" t="n">
        <v>6.508055</v>
      </c>
      <c r="E273" t="n">
        <v>9711.6</v>
      </c>
      <c r="F273" s="3" t="n">
        <v>0.670132110053956</v>
      </c>
      <c r="G273" t="n">
        <v>1492</v>
      </c>
      <c r="H273" s="3" t="n">
        <v>0.6460552452862063</v>
      </c>
      <c r="I273" s="3" t="n">
        <v>0.6948767174102776</v>
      </c>
      <c r="J273" t="n">
        <v>2922.9</v>
      </c>
      <c r="K273">
        <f>IF(IFERROR(INDEX(Spots!$K$2:$K$96,MATCH(A273,Spots!$A$2:$A$96,0)),"")="","",IFERROR(INDEX(Spots!$K$2:$K$96,MATCH(A273,Spots!$A$2:$A$96,0)),""))</f>
        <v/>
      </c>
      <c r="L273" s="3">
        <f>IF(OR(K273="",F273=""),"",F273/1000*K273*100)</f>
        <v/>
      </c>
      <c r="M273">
        <f>IF(OR(L273="",L273=0),"",ROUND(100/L273,0))</f>
        <v/>
      </c>
      <c r="N273" t="inlineStr"/>
    </row>
    <row r="274">
      <c r="A274" t="n">
        <v>147</v>
      </c>
      <c r="B274" t="inlineStr">
        <is>
          <t>City of the Dead</t>
        </is>
      </c>
      <c r="C274" t="inlineStr">
        <is>
          <t>Sealed Black Magic Crystal</t>
        </is>
      </c>
      <c r="D274" t="n">
        <v>4.815125</v>
      </c>
      <c r="E274" t="n">
        <v>9711.6</v>
      </c>
      <c r="F274" s="3" t="n">
        <v>0.4958117097079781</v>
      </c>
      <c r="G274" t="n">
        <v>2017</v>
      </c>
      <c r="H274" s="3" t="n">
        <v>0.4751323704022031</v>
      </c>
      <c r="I274" s="3" t="n">
        <v>0.5171594613254098</v>
      </c>
      <c r="J274" t="n">
        <v>2162.6</v>
      </c>
      <c r="K274">
        <f>IF(IFERROR(INDEX(Spots!$K$2:$K$96,MATCH(A274,Spots!$A$2:$A$96,0)),"")="","",IFERROR(INDEX(Spots!$K$2:$K$96,MATCH(A274,Spots!$A$2:$A$96,0)),""))</f>
        <v/>
      </c>
      <c r="L274" s="3">
        <f>IF(OR(K274="",F274=""),"",F274/1000*K274*100)</f>
        <v/>
      </c>
      <c r="M274">
        <f>IF(OR(L274="",L274=0),"",ROUND(100/L274,0))</f>
        <v/>
      </c>
      <c r="N274" t="inlineStr"/>
    </row>
    <row r="275">
      <c r="A275" t="n">
        <v>147</v>
      </c>
      <c r="B275" t="inlineStr">
        <is>
          <t>City of the Dead</t>
        </is>
      </c>
      <c r="C275" t="inlineStr">
        <is>
          <t>Imperfect Lightstone of Fire</t>
        </is>
      </c>
      <c r="D275" t="n">
        <v>0.93333418</v>
      </c>
      <c r="E275" t="n">
        <v>9711.6</v>
      </c>
      <c r="F275" s="3" t="n">
        <v>0.0961050887598336</v>
      </c>
      <c r="G275" t="n">
        <v>10405</v>
      </c>
      <c r="H275" s="3" t="n">
        <v>0.08712360246313586</v>
      </c>
      <c r="I275" s="3" t="n">
        <v>0.1057610333217776</v>
      </c>
      <c r="J275" t="n">
        <v>419.2</v>
      </c>
      <c r="K275">
        <f>IF(IFERROR(INDEX(Spots!$K$2:$K$96,MATCH(A275,Spots!$A$2:$A$96,0)),"")="","",IFERROR(INDEX(Spots!$K$2:$K$96,MATCH(A275,Spots!$A$2:$A$96,0)),""))</f>
        <v/>
      </c>
      <c r="L275" s="3">
        <f>IF(OR(K275="",F275=""),"",F275/1000*K275*100)</f>
        <v/>
      </c>
      <c r="M275">
        <f>IF(OR(L275="",L275=0),"",ROUND(100/L275,0))</f>
        <v/>
      </c>
      <c r="N275" t="inlineStr"/>
    </row>
    <row r="276">
      <c r="A276" t="n">
        <v>147</v>
      </c>
      <c r="B276" t="inlineStr">
        <is>
          <t>City of the Dead</t>
        </is>
      </c>
      <c r="C276" t="inlineStr">
        <is>
          <t>Embers of Resonance</t>
        </is>
      </c>
      <c r="D276" t="n">
        <v>0.63535866</v>
      </c>
      <c r="E276" t="n">
        <v>9711.6</v>
      </c>
      <c r="F276" s="3" t="n">
        <v>0.06542265538119363</v>
      </c>
      <c r="G276" t="n">
        <v>15285</v>
      </c>
      <c r="H276" s="3" t="n">
        <v>0.0580509289042135</v>
      </c>
      <c r="I276" s="3" t="n">
        <v>0.07347110956813641</v>
      </c>
      <c r="J276" t="n">
        <v>285.4</v>
      </c>
      <c r="K276">
        <f>IF(IFERROR(INDEX(Spots!$K$2:$K$96,MATCH(A276,Spots!$A$2:$A$96,0)),"")="","",IFERROR(INDEX(Spots!$K$2:$K$96,MATCH(A276,Spots!$A$2:$A$96,0)),""))</f>
        <v/>
      </c>
      <c r="L276" s="3">
        <f>IF(OR(K276="",F276=""),"",F276/1000*K276*100)</f>
        <v/>
      </c>
      <c r="M276">
        <f>IF(OR(L276="",L276=0),"",ROUND(100/L276,0))</f>
        <v/>
      </c>
      <c r="N276" t="inlineStr"/>
    </row>
    <row r="277">
      <c r="A277" t="n">
        <v>147</v>
      </c>
      <c r="B277" t="inlineStr">
        <is>
          <t>City of the Dead</t>
        </is>
      </c>
      <c r="C277" t="inlineStr">
        <is>
          <t>Kabua's Fragment</t>
        </is>
      </c>
      <c r="D277" t="n">
        <v>0.50596638</v>
      </c>
      <c r="E277" t="n">
        <v>9711.6</v>
      </c>
      <c r="F277" s="3" t="n">
        <v>0.0520991783022365</v>
      </c>
      <c r="G277" t="n">
        <v>19194</v>
      </c>
      <c r="H277" s="3" t="n">
        <v>0.04554459864392939</v>
      </c>
      <c r="I277" s="3" t="n">
        <v>0.05933204340488461</v>
      </c>
      <c r="J277" t="n">
        <v>227.2</v>
      </c>
      <c r="K277">
        <f>IF(IFERROR(INDEX(Spots!$K$2:$K$96,MATCH(A277,Spots!$A$2:$A$96,0)),"")="","",IFERROR(INDEX(Spots!$K$2:$K$96,MATCH(A277,Spots!$A$2:$A$96,0)),""))</f>
        <v/>
      </c>
      <c r="L277" s="3">
        <f>IF(OR(K277="",F277=""),"",F277/1000*K277*100)</f>
        <v/>
      </c>
      <c r="M277">
        <f>IF(OR(L277="",L277=0),"",ROUND(100/L277,0))</f>
        <v/>
      </c>
      <c r="N277" t="inlineStr"/>
    </row>
    <row r="278">
      <c r="A278" t="n">
        <v>147</v>
      </c>
      <c r="B278" t="inlineStr">
        <is>
          <t>City of the Dead</t>
        </is>
      </c>
      <c r="C278" t="inlineStr">
        <is>
          <t>Essence of Devouring</t>
        </is>
      </c>
      <c r="D278" t="n">
        <v>0.38152415</v>
      </c>
      <c r="E278" t="n">
        <v>9711.6</v>
      </c>
      <c r="F278" s="3" t="n">
        <v>0.0392854061122781</v>
      </c>
      <c r="G278" t="n">
        <v>25455</v>
      </c>
      <c r="H278" s="3" t="n">
        <v>0.03362287922283155</v>
      </c>
      <c r="I278" s="3" t="n">
        <v>0.0456284031908814</v>
      </c>
      <c r="J278" t="n">
        <v>171.3</v>
      </c>
      <c r="K278">
        <f>IF(IFERROR(INDEX(Spots!$K$2:$K$96,MATCH(A278,Spots!$A$2:$A$96,0)),"")="","",IFERROR(INDEX(Spots!$K$2:$K$96,MATCH(A278,Spots!$A$2:$A$96,0)),""))</f>
        <v/>
      </c>
      <c r="L278" s="3">
        <f>IF(OR(K278="",F278=""),"",F278/1000*K278*100)</f>
        <v/>
      </c>
      <c r="M278">
        <f>IF(OR(L278="",L278=0),"",ROUND(100/L278,0))</f>
        <v/>
      </c>
      <c r="N278" t="inlineStr"/>
    </row>
    <row r="279">
      <c r="A279" t="n">
        <v>147</v>
      </c>
      <c r="B279" t="inlineStr">
        <is>
          <t>City of the Dead</t>
        </is>
      </c>
      <c r="C279" t="inlineStr">
        <is>
          <t>City of the Dead Paint</t>
        </is>
      </c>
      <c r="D279" t="n">
        <v>0.12102608</v>
      </c>
      <c r="E279" t="n">
        <v>9711.6</v>
      </c>
      <c r="F279" s="3" t="n">
        <v>0.01246201243873306</v>
      </c>
      <c r="G279" t="n">
        <v>80244</v>
      </c>
      <c r="H279" s="3" t="n">
        <v>0.009370564468951391</v>
      </c>
      <c r="I279" s="3" t="n">
        <v>0.0162465646268319</v>
      </c>
      <c r="J279" t="n">
        <v>54.4</v>
      </c>
      <c r="K279">
        <f>IF(IFERROR(INDEX(Spots!$K$2:$K$96,MATCH(A279,Spots!$A$2:$A$96,0)),"")="","",IFERROR(INDEX(Spots!$K$2:$K$96,MATCH(A279,Spots!$A$2:$A$96,0)),""))</f>
        <v/>
      </c>
      <c r="L279" s="3">
        <f>IF(OR(K279="",F279=""),"",F279/1000*K279*100)</f>
        <v/>
      </c>
      <c r="M279">
        <f>IF(OR(L279="",L279=0),"",ROUND(100/L279,0))</f>
        <v/>
      </c>
      <c r="N279" t="inlineStr"/>
    </row>
    <row r="280">
      <c r="A280" t="n">
        <v>147</v>
      </c>
      <c r="B280" t="inlineStr">
        <is>
          <t>City of the Dead</t>
        </is>
      </c>
      <c r="C280" t="inlineStr">
        <is>
          <t>Imperfect Lightstone of Earth</t>
        </is>
      </c>
      <c r="D280" t="n">
        <v>0.07529784</v>
      </c>
      <c r="E280" t="n">
        <v>9711.6</v>
      </c>
      <c r="F280" s="3" t="n">
        <v>0.007753391820091438</v>
      </c>
      <c r="G280" t="n">
        <v>128976</v>
      </c>
      <c r="H280" s="3" t="n">
        <v>0.005362767204500974</v>
      </c>
      <c r="I280" s="3" t="n">
        <v>0.01084465656637095</v>
      </c>
      <c r="J280" t="n">
        <v>33.8</v>
      </c>
      <c r="K280">
        <f>IF(IFERROR(INDEX(Spots!$K$2:$K$96,MATCH(A280,Spots!$A$2:$A$96,0)),"")="","",IFERROR(INDEX(Spots!$K$2:$K$96,MATCH(A280,Spots!$A$2:$A$96,0)),""))</f>
        <v/>
      </c>
      <c r="L280" s="3">
        <f>IF(OR(K280="",F280=""),"",F280/1000*K280*100)</f>
        <v/>
      </c>
      <c r="M280">
        <f>IF(OR(L280="",L280=0),"",ROUND(100/L280,0))</f>
        <v/>
      </c>
      <c r="N280" t="inlineStr"/>
    </row>
    <row r="281">
      <c r="A281" t="n">
        <v>147</v>
      </c>
      <c r="B281" t="inlineStr">
        <is>
          <t>City of the Dead</t>
        </is>
      </c>
      <c r="C281" t="inlineStr">
        <is>
          <t>Kuadir Fragment</t>
        </is>
      </c>
      <c r="D281" t="n">
        <v>0.07017266</v>
      </c>
      <c r="E281" t="n">
        <v>9711.6</v>
      </c>
      <c r="F281" s="3" t="n">
        <v>0.007225653857242884</v>
      </c>
      <c r="G281" t="n">
        <v>138396</v>
      </c>
      <c r="H281" s="3" t="n">
        <v>0.00492569788540354</v>
      </c>
      <c r="I281" s="3" t="n">
        <v>0.01022751332630269</v>
      </c>
      <c r="J281" t="n">
        <v>31.5</v>
      </c>
      <c r="K281">
        <f>IF(IFERROR(INDEX(Spots!$K$2:$K$96,MATCH(A281,Spots!$A$2:$A$96,0)),"")="","",IFERROR(INDEX(Spots!$K$2:$K$96,MATCH(A281,Spots!$A$2:$A$96,0)),""))</f>
        <v/>
      </c>
      <c r="L281" s="3">
        <f>IF(OR(K281="",F281=""),"",F281/1000*K281*100)</f>
        <v/>
      </c>
      <c r="M281">
        <f>IF(OR(L281="",L281=0),"",ROUND(100/L281,0))</f>
        <v/>
      </c>
      <c r="N281" t="inlineStr"/>
    </row>
    <row r="282">
      <c r="A282" t="n">
        <v>147</v>
      </c>
      <c r="B282" t="inlineStr">
        <is>
          <t>City of the Dead</t>
        </is>
      </c>
      <c r="C282" t="inlineStr">
        <is>
          <t>Imperfect Lightstone of Wind</t>
        </is>
      </c>
      <c r="D282" t="n">
        <v>0.06755914</v>
      </c>
      <c r="E282" t="n">
        <v>9711.6</v>
      </c>
      <c r="F282" s="3" t="n">
        <v>0.006956540631821739</v>
      </c>
      <c r="G282" t="n">
        <v>143750</v>
      </c>
      <c r="H282" s="3" t="n">
        <v>0.004704099862727073</v>
      </c>
      <c r="I282" s="3" t="n">
        <v>0.009911581706098722</v>
      </c>
      <c r="J282" t="n">
        <v>30.3</v>
      </c>
      <c r="K282">
        <f>IF(IFERROR(INDEX(Spots!$K$2:$K$96,MATCH(A282,Spots!$A$2:$A$96,0)),"")="","",IFERROR(INDEX(Spots!$K$2:$K$96,MATCH(A282,Spots!$A$2:$A$96,0)),""))</f>
        <v/>
      </c>
      <c r="L282" s="3">
        <f>IF(OR(K282="",F282=""),"",F282/1000*K282*100)</f>
        <v/>
      </c>
      <c r="M282">
        <f>IF(OR(L282="",L282=0),"",ROUND(100/L282,0))</f>
        <v/>
      </c>
      <c r="N282" t="inlineStr"/>
    </row>
    <row r="283">
      <c r="A283" t="n">
        <v>147</v>
      </c>
      <c r="B283" t="inlineStr">
        <is>
          <t>City of the Dead</t>
        </is>
      </c>
      <c r="C283" t="inlineStr">
        <is>
          <t>Specter's Energy</t>
        </is>
      </c>
      <c r="D283" t="n">
        <v>0.06431666</v>
      </c>
      <c r="E283" t="n">
        <v>9711.6</v>
      </c>
      <c r="F283" s="3" t="n">
        <v>0.006622663618765188</v>
      </c>
      <c r="G283" t="n">
        <v>150997</v>
      </c>
      <c r="H283" s="3" t="n">
        <v>0.004430473529421525</v>
      </c>
      <c r="I283" s="3" t="n">
        <v>0.009518374561186281</v>
      </c>
      <c r="J283" t="n">
        <v>28.9</v>
      </c>
      <c r="K283">
        <f>IF(IFERROR(INDEX(Spots!$K$2:$K$96,MATCH(A283,Spots!$A$2:$A$96,0)),"")="","",IFERROR(INDEX(Spots!$K$2:$K$96,MATCH(A283,Spots!$A$2:$A$96,0)),""))</f>
        <v/>
      </c>
      <c r="L283" s="3">
        <f>IF(OR(K283="",F283=""),"",F283/1000*K283*100)</f>
        <v/>
      </c>
      <c r="M283">
        <f>IF(OR(L283="",L283=0),"",ROUND(100/L283,0))</f>
        <v/>
      </c>
      <c r="N283" t="inlineStr">
        <is>
          <t>low sample</t>
        </is>
      </c>
    </row>
    <row r="284">
      <c r="A284" t="n">
        <v>147</v>
      </c>
      <c r="B284" t="inlineStr">
        <is>
          <t>City of the Dead</t>
        </is>
      </c>
      <c r="C284" t="inlineStr">
        <is>
          <t>Ancient Magic Crystal of Nature - Giant</t>
        </is>
      </c>
      <c r="D284" t="n">
        <v>0.04214141</v>
      </c>
      <c r="E284" t="n">
        <v>9711.6</v>
      </c>
      <c r="F284" s="3" t="n">
        <v>0.004339286008484698</v>
      </c>
      <c r="G284" t="n">
        <v>230453</v>
      </c>
      <c r="H284" s="3" t="n">
        <v>0.002608395529452629</v>
      </c>
      <c r="I284" s="3" t="n">
        <v>0.0067824790841993</v>
      </c>
      <c r="J284" t="n">
        <v>18.9</v>
      </c>
      <c r="K284">
        <f>IF(IFERROR(INDEX(Spots!$K$2:$K$96,MATCH(A284,Spots!$A$2:$A$96,0)),"")="","",IFERROR(INDEX(Spots!$K$2:$K$96,MATCH(A284,Spots!$A$2:$A$96,0)),""))</f>
        <v/>
      </c>
      <c r="L284" s="3">
        <f>IF(OR(K284="",F284=""),"",F284/1000*K284*100)</f>
        <v/>
      </c>
      <c r="M284">
        <f>IF(OR(L284="",L284=0),"",ROUND(100/L284,0))</f>
        <v/>
      </c>
      <c r="N284" t="inlineStr">
        <is>
          <t>low sample</t>
        </is>
      </c>
    </row>
    <row r="285">
      <c r="A285" t="n">
        <v>147</v>
      </c>
      <c r="B285" t="inlineStr">
        <is>
          <t>City of the Dead</t>
        </is>
      </c>
      <c r="C285" t="inlineStr">
        <is>
          <t>Forgotten Limbo Box</t>
        </is>
      </c>
      <c r="D285" t="n">
        <v>0.01794463</v>
      </c>
      <c r="E285" t="n">
        <v>9711.6</v>
      </c>
      <c r="F285" s="3" t="n">
        <v>0.0018477521726595</v>
      </c>
      <c r="G285" t="n">
        <v>541198</v>
      </c>
      <c r="H285" s="3" t="n">
        <v>0.0007986178431122097</v>
      </c>
      <c r="I285" s="3" t="n">
        <v>0.003632335816914755</v>
      </c>
      <c r="J285" t="n">
        <v>8.1</v>
      </c>
      <c r="K285">
        <f>IF(IFERROR(INDEX(Spots!$K$2:$K$96,MATCH(A285,Spots!$A$2:$A$96,0)),"")="","",IFERROR(INDEX(Spots!$K$2:$K$96,MATCH(A285,Spots!$A$2:$A$96,0)),""))</f>
        <v/>
      </c>
      <c r="L285" s="3">
        <f>IF(OR(K285="",F285=""),"",F285/1000*K285*100)</f>
        <v/>
      </c>
      <c r="M285">
        <f>IF(OR(L285="",L285=0),"",ROUND(100/L285,0))</f>
        <v/>
      </c>
      <c r="N285" t="inlineStr">
        <is>
          <t>low sample</t>
        </is>
      </c>
    </row>
    <row r="286">
      <c r="A286" t="n">
        <v>147</v>
      </c>
      <c r="B286" t="inlineStr">
        <is>
          <t>City of the Dead</t>
        </is>
      </c>
      <c r="C286" t="inlineStr">
        <is>
          <t>Origin of Dark Hunger</t>
        </is>
      </c>
      <c r="D286" t="n">
        <v>0.00465087</v>
      </c>
      <c r="E286" t="n">
        <v>9711.6</v>
      </c>
      <c r="F286" s="3" t="n">
        <v>0.000478898430742617</v>
      </c>
      <c r="G286" t="n">
        <v>2088125</v>
      </c>
      <c r="H286" s="3" t="n">
        <v>5.799781168358e-05</v>
      </c>
      <c r="I286" s="3" t="n">
        <v>0.00168784143422165</v>
      </c>
      <c r="J286" t="n">
        <v>2.1</v>
      </c>
      <c r="K286">
        <f>IF(IFERROR(INDEX(Spots!$K$2:$K$96,MATCH(A286,Spots!$A$2:$A$96,0)),"")="","",IFERROR(INDEX(Spots!$K$2:$K$96,MATCH(A286,Spots!$A$2:$A$96,0)),""))</f>
        <v/>
      </c>
      <c r="L286" s="3">
        <f>IF(OR(K286="",F286=""),"",F286/1000*K286*100)</f>
        <v/>
      </c>
      <c r="M286">
        <f>IF(OR(L286="",L286=0),"",ROUND(100/L286,0))</f>
        <v/>
      </c>
      <c r="N286" t="inlineStr">
        <is>
          <t>low sample</t>
        </is>
      </c>
    </row>
    <row r="287">
      <c r="A287" t="n">
        <v>147</v>
      </c>
      <c r="B287" t="inlineStr">
        <is>
          <t>City of the Dead</t>
        </is>
      </c>
      <c r="C287" t="inlineStr">
        <is>
          <t>Kabua's Artifact</t>
        </is>
      </c>
      <c r="D287" t="n">
        <v>0.00279269</v>
      </c>
      <c r="E287" t="n">
        <v>9711.6</v>
      </c>
      <c r="F287" s="3" t="n">
        <v>0.000287562296634952</v>
      </c>
      <c r="G287" t="n">
        <v>3477507</v>
      </c>
      <c r="H287" s="3" t="n">
        <v>1.015128314523984e-05</v>
      </c>
      <c r="I287" s="3" t="n">
        <v>0.001375640249219719</v>
      </c>
      <c r="J287" t="n">
        <v>1.3</v>
      </c>
      <c r="K287">
        <f>IF(IFERROR(INDEX(Spots!$K$2:$K$96,MATCH(A287,Spots!$A$2:$A$96,0)),"")="","",IFERROR(INDEX(Spots!$K$2:$K$96,MATCH(A287,Spots!$A$2:$A$96,0)),""))</f>
        <v/>
      </c>
      <c r="L287" s="3">
        <f>IF(OR(K287="",F287=""),"",F287/1000*K287*100)</f>
        <v/>
      </c>
      <c r="M287">
        <f>IF(OR(L287="",L287=0),"",ROUND(100/L287,0))</f>
        <v/>
      </c>
      <c r="N287" t="inlineStr">
        <is>
          <t>low sample</t>
        </is>
      </c>
    </row>
    <row r="288">
      <c r="A288" t="n">
        <v>147</v>
      </c>
      <c r="B288" t="inlineStr">
        <is>
          <t>City of the Dead</t>
        </is>
      </c>
      <c r="C288" t="inlineStr">
        <is>
          <t>Lafi Bedmountain's Upgraded Telescope Parts</t>
        </is>
      </c>
      <c r="D288" t="n">
        <v>0.00271577</v>
      </c>
      <c r="E288" t="n">
        <v>9711.6</v>
      </c>
      <c r="F288" s="3" t="n">
        <v>0.0002796418715762593</v>
      </c>
      <c r="G288" t="n">
        <v>3576002</v>
      </c>
      <c r="H288" s="3" t="n">
        <v>8.935776822150851e-06</v>
      </c>
      <c r="I288" s="3" t="n">
        <v>0.001362214473455194</v>
      </c>
      <c r="J288" t="n">
        <v>1.2</v>
      </c>
      <c r="K288">
        <f>IF(IFERROR(INDEX(Spots!$K$2:$K$96,MATCH(A288,Spots!$A$2:$A$96,0)),"")="","",IFERROR(INDEX(Spots!$K$2:$K$96,MATCH(A288,Spots!$A$2:$A$96,0)),""))</f>
        <v/>
      </c>
      <c r="L288" s="3">
        <f>IF(OR(K288="",F288=""),"",F288/1000*K288*100)</f>
        <v/>
      </c>
      <c r="M288">
        <f>IF(OR(L288="",L288=0),"",ROUND(100/L288,0))</f>
        <v/>
      </c>
      <c r="N288" t="inlineStr">
        <is>
          <t>low sample</t>
        </is>
      </c>
    </row>
    <row r="289">
      <c r="A289" t="n">
        <v>147</v>
      </c>
      <c r="B289" t="inlineStr">
        <is>
          <t>City of the Dead</t>
        </is>
      </c>
      <c r="C289" t="inlineStr">
        <is>
          <t>Lafi Bedmountain's Upgraded Telescope Parts</t>
        </is>
      </c>
      <c r="D289" t="n">
        <v>0.00100694</v>
      </c>
      <c r="E289" t="n">
        <v>9711.6</v>
      </c>
      <c r="F289" s="3" t="n">
        <v>0.0001036842538819556</v>
      </c>
      <c r="G289" t="n">
        <v>9644666</v>
      </c>
      <c r="H289" s="3" t="n">
        <v>0</v>
      </c>
      <c r="I289" s="3" t="n">
        <v>0.001048249819211048</v>
      </c>
      <c r="J289" t="n">
        <v>0.5</v>
      </c>
      <c r="K289">
        <f>IF(IFERROR(INDEX(Spots!$K$2:$K$96,MATCH(A289,Spots!$A$2:$A$96,0)),"")="","",IFERROR(INDEX(Spots!$K$2:$K$96,MATCH(A289,Spots!$A$2:$A$96,0)),""))</f>
        <v/>
      </c>
      <c r="L289" s="3">
        <f>IF(OR(K289="",F289=""),"",F289/1000*K289*100)</f>
        <v/>
      </c>
      <c r="M289">
        <f>IF(OR(L289="",L289=0),"",ROUND(100/L289,0))</f>
        <v/>
      </c>
      <c r="N289" t="inlineStr">
        <is>
          <t>low sample</t>
        </is>
      </c>
    </row>
    <row r="290">
      <c r="A290" t="n">
        <v>85</v>
      </c>
      <c r="B290" t="inlineStr">
        <is>
          <t>Crescent Shrine</t>
        </is>
      </c>
      <c r="C290" t="inlineStr">
        <is>
          <t>Black Stone</t>
        </is>
      </c>
      <c r="D290" t="n">
        <v>9.480240999999999</v>
      </c>
      <c r="E290" t="n">
        <v>11172</v>
      </c>
      <c r="F290" s="3" t="n">
        <v>0.8485715180809165</v>
      </c>
      <c r="G290" t="n">
        <v>1178</v>
      </c>
      <c r="H290" s="3" t="n">
        <v>0.686620422990494</v>
      </c>
      <c r="I290" s="3" t="n">
        <v>1.037219358275659</v>
      </c>
      <c r="J290" t="n">
        <v>95.09999999999999</v>
      </c>
      <c r="K290">
        <f>IF(IFERROR(INDEX(Spots!$K$2:$K$96,MATCH(A290,Spots!$A$2:$A$96,0)),"")="","",IFERROR(INDEX(Spots!$K$2:$K$96,MATCH(A290,Spots!$A$2:$A$96,0)),""))</f>
        <v/>
      </c>
      <c r="L290" s="3">
        <f>IF(OR(K290="",F290=""),"",F290/1000*K290*100)</f>
        <v/>
      </c>
      <c r="M290">
        <f>IF(OR(L290="",L290=0),"",ROUND(100/L290,0))</f>
        <v/>
      </c>
      <c r="N290" t="inlineStr">
        <is>
          <t>low sample</t>
        </is>
      </c>
    </row>
    <row r="291">
      <c r="A291" t="n">
        <v>85</v>
      </c>
      <c r="B291" t="inlineStr">
        <is>
          <t>Crescent Shrine</t>
        </is>
      </c>
      <c r="C291" t="inlineStr">
        <is>
          <t>Trace of Nature</t>
        </is>
      </c>
      <c r="D291" t="n">
        <v>8.834732000000001</v>
      </c>
      <c r="E291" t="n">
        <v>11172</v>
      </c>
      <c r="F291" s="3" t="n">
        <v>0.7907923379878268</v>
      </c>
      <c r="G291" t="n">
        <v>1265</v>
      </c>
      <c r="H291" s="3" t="n">
        <v>0.63475382506754</v>
      </c>
      <c r="I291" s="3" t="n">
        <v>0.9735581619444558</v>
      </c>
      <c r="J291" t="n">
        <v>88.59999999999999</v>
      </c>
      <c r="K291">
        <f>IF(IFERROR(INDEX(Spots!$K$2:$K$96,MATCH(A291,Spots!$A$2:$A$96,0)),"")="","",IFERROR(INDEX(Spots!$K$2:$K$96,MATCH(A291,Spots!$A$2:$A$96,0)),""))</f>
        <v/>
      </c>
      <c r="L291" s="3">
        <f>IF(OR(K291="",F291=""),"",F291/1000*K291*100)</f>
        <v/>
      </c>
      <c r="M291">
        <f>IF(OR(L291="",L291=0),"",ROUND(100/L291,0))</f>
        <v/>
      </c>
      <c r="N291" t="inlineStr">
        <is>
          <t>low sample</t>
        </is>
      </c>
    </row>
    <row r="292">
      <c r="A292" t="n">
        <v>85</v>
      </c>
      <c r="B292" t="inlineStr">
        <is>
          <t>Crescent Shrine</t>
        </is>
      </c>
      <c r="C292" t="inlineStr">
        <is>
          <t>Caphras Stone</t>
        </is>
      </c>
      <c r="D292" t="n">
        <v>7.567611</v>
      </c>
      <c r="E292" t="n">
        <v>11172</v>
      </c>
      <c r="F292" s="3" t="n">
        <v>0.6773729860365199</v>
      </c>
      <c r="G292" t="n">
        <v>1476</v>
      </c>
      <c r="H292" s="3" t="n">
        <v>0.5336070338025359</v>
      </c>
      <c r="I292" s="3" t="n">
        <v>0.8479370149182701</v>
      </c>
      <c r="J292" t="n">
        <v>75.90000000000001</v>
      </c>
      <c r="K292">
        <f>IF(IFERROR(INDEX(Spots!$K$2:$K$96,MATCH(A292,Spots!$A$2:$A$96,0)),"")="","",IFERROR(INDEX(Spots!$K$2:$K$96,MATCH(A292,Spots!$A$2:$A$96,0)),""))</f>
        <v/>
      </c>
      <c r="L292" s="3">
        <f>IF(OR(K292="",F292=""),"",F292/1000*K292*100)</f>
        <v/>
      </c>
      <c r="M292">
        <f>IF(OR(L292="",L292=0),"",ROUND(100/L292,0))</f>
        <v/>
      </c>
      <c r="N292" t="inlineStr">
        <is>
          <t>low sample</t>
        </is>
      </c>
    </row>
    <row r="293">
      <c r="A293" t="n">
        <v>85</v>
      </c>
      <c r="B293" t="inlineStr">
        <is>
          <t>Crescent Shrine</t>
        </is>
      </c>
      <c r="C293" t="inlineStr">
        <is>
          <t>Scroll Written in Ancient Language</t>
        </is>
      </c>
      <c r="D293" t="n">
        <v>4.131987</v>
      </c>
      <c r="E293" t="n">
        <v>11172</v>
      </c>
      <c r="F293" s="3" t="n">
        <v>0.3698520408163265</v>
      </c>
      <c r="G293" t="n">
        <v>2704</v>
      </c>
      <c r="H293" s="3" t="n">
        <v>0.2659104623387121</v>
      </c>
      <c r="I293" s="3" t="n">
        <v>0.5009226884550279</v>
      </c>
      <c r="J293" t="n">
        <v>41.5</v>
      </c>
      <c r="K293">
        <f>IF(IFERROR(INDEX(Spots!$K$2:$K$96,MATCH(A293,Spots!$A$2:$A$96,0)),"")="","",IFERROR(INDEX(Spots!$K$2:$K$96,MATCH(A293,Spots!$A$2:$A$96,0)),""))</f>
        <v/>
      </c>
      <c r="L293" s="3">
        <f>IF(OR(K293="",F293=""),"",F293/1000*K293*100)</f>
        <v/>
      </c>
      <c r="M293">
        <f>IF(OR(L293="",L293=0),"",ROUND(100/L293,0))</f>
        <v/>
      </c>
      <c r="N293" t="inlineStr">
        <is>
          <t>low sample</t>
        </is>
      </c>
    </row>
    <row r="294">
      <c r="A294" t="n">
        <v>85</v>
      </c>
      <c r="B294" t="inlineStr">
        <is>
          <t>Crescent Shrine</t>
        </is>
      </c>
      <c r="C294" t="inlineStr">
        <is>
          <t>Ancient Spirit Dust</t>
        </is>
      </c>
      <c r="D294" t="n">
        <v>3.39395</v>
      </c>
      <c r="E294" t="n">
        <v>11172</v>
      </c>
      <c r="F294" s="3" t="n">
        <v>0.3037907268170426</v>
      </c>
      <c r="G294" t="n">
        <v>3292</v>
      </c>
      <c r="H294" s="3" t="n">
        <v>0.2104153388835558</v>
      </c>
      <c r="I294" s="3" t="n">
        <v>0.4244240618662726</v>
      </c>
      <c r="J294" t="n">
        <v>34.1</v>
      </c>
      <c r="K294">
        <f>IF(IFERROR(INDEX(Spots!$K$2:$K$96,MATCH(A294,Spots!$A$2:$A$96,0)),"")="","",IFERROR(INDEX(Spots!$K$2:$K$96,MATCH(A294,Spots!$A$2:$A$96,0)),""))</f>
        <v/>
      </c>
      <c r="L294" s="3">
        <f>IF(OR(K294="",F294=""),"",F294/1000*K294*100)</f>
        <v/>
      </c>
      <c r="M294">
        <f>IF(OR(L294="",L294=0),"",ROUND(100/L294,0))</f>
        <v/>
      </c>
      <c r="N294" t="inlineStr">
        <is>
          <t>low sample</t>
        </is>
      </c>
    </row>
    <row r="295">
      <c r="A295" t="n">
        <v>85</v>
      </c>
      <c r="B295" t="inlineStr">
        <is>
          <t>Crescent Shrine</t>
        </is>
      </c>
      <c r="C295" t="inlineStr">
        <is>
          <t>Soiled Ring of Crescent Guardian</t>
        </is>
      </c>
      <c r="D295" t="n">
        <v>2.491694</v>
      </c>
      <c r="E295" t="n">
        <v>11172</v>
      </c>
      <c r="F295" s="3" t="n">
        <v>0.2230302542069459</v>
      </c>
      <c r="G295" t="n">
        <v>4484</v>
      </c>
      <c r="H295" s="3" t="n">
        <v>0.1442928189452286</v>
      </c>
      <c r="I295" s="3" t="n">
        <v>0.3292522814030756</v>
      </c>
      <c r="J295" t="n">
        <v>25</v>
      </c>
      <c r="K295">
        <f>IF(IFERROR(INDEX(Spots!$K$2:$K$96,MATCH(A295,Spots!$A$2:$A$96,0)),"")="","",IFERROR(INDEX(Spots!$K$2:$K$96,MATCH(A295,Spots!$A$2:$A$96,0)),""))</f>
        <v/>
      </c>
      <c r="L295" s="3">
        <f>IF(OR(K295="",F295=""),"",F295/1000*K295*100)</f>
        <v/>
      </c>
      <c r="M295">
        <f>IF(OR(L295="",L295=0),"",ROUND(100/L295,0))</f>
        <v/>
      </c>
      <c r="N295" t="inlineStr">
        <is>
          <t>low sample</t>
        </is>
      </c>
    </row>
    <row r="296">
      <c r="A296" t="n">
        <v>85</v>
      </c>
      <c r="B296" t="inlineStr">
        <is>
          <t>Crescent Shrine</t>
        </is>
      </c>
      <c r="C296" t="inlineStr">
        <is>
          <t>Mass of Pure Magic</t>
        </is>
      </c>
      <c r="D296" t="n">
        <v>1.879408</v>
      </c>
      <c r="E296" t="n">
        <v>11172</v>
      </c>
      <c r="F296" s="3" t="n">
        <v>0.1682248478338704</v>
      </c>
      <c r="G296" t="n">
        <v>5944</v>
      </c>
      <c r="H296" s="3" t="n">
        <v>0.1010145119310373</v>
      </c>
      <c r="I296" s="3" t="n">
        <v>0.2631549412455018</v>
      </c>
      <c r="J296" t="n">
        <v>18.9</v>
      </c>
      <c r="K296">
        <f>IF(IFERROR(INDEX(Spots!$K$2:$K$96,MATCH(A296,Spots!$A$2:$A$96,0)),"")="","",IFERROR(INDEX(Spots!$K$2:$K$96,MATCH(A296,Spots!$A$2:$A$96,0)),""))</f>
        <v/>
      </c>
      <c r="L296" s="3">
        <f>IF(OR(K296="",F296=""),"",F296/1000*K296*100)</f>
        <v/>
      </c>
      <c r="M296">
        <f>IF(OR(L296="",L296=0),"",ROUND(100/L296,0))</f>
        <v/>
      </c>
      <c r="N296" t="inlineStr">
        <is>
          <t>low sample</t>
        </is>
      </c>
    </row>
    <row r="297">
      <c r="A297" t="n">
        <v>85</v>
      </c>
      <c r="B297" t="inlineStr">
        <is>
          <t>Crescent Shrine</t>
        </is>
      </c>
      <c r="C297" t="inlineStr">
        <is>
          <t>Atanis' Element</t>
        </is>
      </c>
      <c r="D297" t="n">
        <v>1.796497</v>
      </c>
      <c r="E297" t="n">
        <v>11172</v>
      </c>
      <c r="F297" s="3" t="n">
        <v>0.1608035266738274</v>
      </c>
      <c r="G297" t="n">
        <v>6219</v>
      </c>
      <c r="H297" s="3" t="n">
        <v>0.0952917829981676</v>
      </c>
      <c r="I297" s="3" t="n">
        <v>0.2540753399577613</v>
      </c>
      <c r="J297" t="n">
        <v>18</v>
      </c>
      <c r="K297">
        <f>IF(IFERROR(INDEX(Spots!$K$2:$K$96,MATCH(A297,Spots!$A$2:$A$96,0)),"")="","",IFERROR(INDEX(Spots!$K$2:$K$96,MATCH(A297,Spots!$A$2:$A$96,0)),""))</f>
        <v/>
      </c>
      <c r="L297" s="3">
        <f>IF(OR(K297="",F297=""),"",F297/1000*K297*100)</f>
        <v/>
      </c>
      <c r="M297">
        <f>IF(OR(L297="",L297=0),"",ROUND(100/L297,0))</f>
        <v/>
      </c>
      <c r="N297" t="inlineStr">
        <is>
          <t>low sample</t>
        </is>
      </c>
    </row>
    <row r="298">
      <c r="A298" t="n">
        <v>85</v>
      </c>
      <c r="B298" t="inlineStr">
        <is>
          <t>Crescent Shrine</t>
        </is>
      </c>
      <c r="C298" t="inlineStr">
        <is>
          <t>Sealed Black Magic Crystal</t>
        </is>
      </c>
      <c r="D298" t="n">
        <v>0.80025648</v>
      </c>
      <c r="E298" t="n">
        <v>11172</v>
      </c>
      <c r="F298" s="3" t="n">
        <v>0.0716305477980666</v>
      </c>
      <c r="G298" t="n">
        <v>13961</v>
      </c>
      <c r="H298" s="3" t="n">
        <v>0.03090043225278975</v>
      </c>
      <c r="I298" s="3" t="n">
        <v>0.1409824373896998</v>
      </c>
      <c r="J298" t="n">
        <v>8</v>
      </c>
      <c r="K298">
        <f>IF(IFERROR(INDEX(Spots!$K$2:$K$96,MATCH(A298,Spots!$A$2:$A$96,0)),"")="","",IFERROR(INDEX(Spots!$K$2:$K$96,MATCH(A298,Spots!$A$2:$A$96,0)),""))</f>
        <v/>
      </c>
      <c r="L298" s="3">
        <f>IF(OR(K298="",F298=""),"",F298/1000*K298*100)</f>
        <v/>
      </c>
      <c r="M298">
        <f>IF(OR(L298="",L298=0),"",ROUND(100/L298,0))</f>
        <v/>
      </c>
      <c r="N298" t="inlineStr">
        <is>
          <t>low sample</t>
        </is>
      </c>
    </row>
    <row r="299">
      <c r="A299" t="n">
        <v>85</v>
      </c>
      <c r="B299" t="inlineStr">
        <is>
          <t>Crescent Shrine</t>
        </is>
      </c>
      <c r="C299" t="inlineStr">
        <is>
          <t>Imperfect Lightstone of Fire</t>
        </is>
      </c>
      <c r="D299" t="n">
        <v>0.64434339</v>
      </c>
      <c r="E299" t="n">
        <v>11172</v>
      </c>
      <c r="F299" s="3" t="n">
        <v>0.0576748469387755</v>
      </c>
      <c r="G299" t="n">
        <v>17339</v>
      </c>
      <c r="H299" s="3" t="n">
        <v>0.02205695769270612</v>
      </c>
      <c r="I299" s="3" t="n">
        <v>0.1221932830849779</v>
      </c>
      <c r="J299" t="n">
        <v>6.5</v>
      </c>
      <c r="K299">
        <f>IF(IFERROR(INDEX(Spots!$K$2:$K$96,MATCH(A299,Spots!$A$2:$A$96,0)),"")="","",IFERROR(INDEX(Spots!$K$2:$K$96,MATCH(A299,Spots!$A$2:$A$96,0)),""))</f>
        <v/>
      </c>
      <c r="L299" s="3">
        <f>IF(OR(K299="",F299=""),"",F299/1000*K299*100)</f>
        <v/>
      </c>
      <c r="M299">
        <f>IF(OR(L299="",L299=0),"",ROUND(100/L299,0))</f>
        <v/>
      </c>
      <c r="N299" t="inlineStr">
        <is>
          <t>low sample</t>
        </is>
      </c>
    </row>
    <row r="300">
      <c r="A300" t="n">
        <v>85</v>
      </c>
      <c r="B300" t="inlineStr">
        <is>
          <t>Crescent Shrine</t>
        </is>
      </c>
      <c r="C300" t="inlineStr">
        <is>
          <t>Ring of Crescent Guardian</t>
        </is>
      </c>
      <c r="D300" t="n">
        <v>0.42985365</v>
      </c>
      <c r="E300" t="n">
        <v>11172</v>
      </c>
      <c r="F300" s="3" t="n">
        <v>0.03847598012889366</v>
      </c>
      <c r="G300" t="n">
        <v>25990</v>
      </c>
      <c r="H300" s="3" t="n">
        <v>0.01104371148797338</v>
      </c>
      <c r="I300" s="3" t="n">
        <v>0.09538504169650348</v>
      </c>
      <c r="J300" t="n">
        <v>4.3</v>
      </c>
      <c r="K300">
        <f>IF(IFERROR(INDEX(Spots!$K$2:$K$96,MATCH(A300,Spots!$A$2:$A$96,0)),"")="","",IFERROR(INDEX(Spots!$K$2:$K$96,MATCH(A300,Spots!$A$2:$A$96,0)),""))</f>
        <v/>
      </c>
      <c r="L300" s="3">
        <f>IF(OR(K300="",F300=""),"",F300/1000*K300*100)</f>
        <v/>
      </c>
      <c r="M300">
        <f>IF(OR(L300="",L300=0),"",ROUND(100/L300,0))</f>
        <v/>
      </c>
      <c r="N300" t="inlineStr">
        <is>
          <t>low sample</t>
        </is>
      </c>
    </row>
    <row r="301">
      <c r="A301" t="n">
        <v>85</v>
      </c>
      <c r="B301" t="inlineStr">
        <is>
          <t>Crescent Shrine</t>
        </is>
      </c>
      <c r="C301" t="inlineStr">
        <is>
          <t>Any Artifact</t>
        </is>
      </c>
      <c r="D301" t="n">
        <v>0.42358804</v>
      </c>
      <c r="E301" t="n">
        <v>11172</v>
      </c>
      <c r="F301" s="3" t="n">
        <v>0.03791514858575009</v>
      </c>
      <c r="G301" t="n">
        <v>26375</v>
      </c>
      <c r="H301" s="3" t="n">
        <v>0.01074968691571244</v>
      </c>
      <c r="I301" s="3" t="n">
        <v>0.09457962333214188</v>
      </c>
      <c r="J301" t="n">
        <v>4.3</v>
      </c>
      <c r="K301">
        <f>IF(IFERROR(INDEX(Spots!$K$2:$K$96,MATCH(A301,Spots!$A$2:$A$96,0)),"")="","",IFERROR(INDEX(Spots!$K$2:$K$96,MATCH(A301,Spots!$A$2:$A$96,0)),""))</f>
        <v/>
      </c>
      <c r="L301" s="3">
        <f>IF(OR(K301="",F301=""),"",F301/1000*K301*100)</f>
        <v/>
      </c>
      <c r="M301">
        <f>IF(OR(L301="",L301=0),"",ROUND(100/L301,0))</f>
        <v/>
      </c>
      <c r="N301" t="inlineStr">
        <is>
          <t>low sample</t>
        </is>
      </c>
    </row>
    <row r="302">
      <c r="A302" t="n">
        <v>85</v>
      </c>
      <c r="B302" t="inlineStr">
        <is>
          <t>Crescent Shrine</t>
        </is>
      </c>
      <c r="C302" t="inlineStr">
        <is>
          <t>Imperfect Lightstone of Wind</t>
        </is>
      </c>
      <c r="D302" t="n">
        <v>0.09573349</v>
      </c>
      <c r="E302" t="n">
        <v>11172</v>
      </c>
      <c r="F302" s="3" t="n">
        <v>0.00856905567490154</v>
      </c>
      <c r="G302" t="n">
        <v>116699</v>
      </c>
      <c r="H302" s="3" t="n">
        <v>8.841104250820205e-05</v>
      </c>
      <c r="I302" s="3" t="n">
        <v>0.04902177446388881</v>
      </c>
      <c r="J302" t="n">
        <v>1</v>
      </c>
      <c r="K302">
        <f>IF(IFERROR(INDEX(Spots!$K$2:$K$96,MATCH(A302,Spots!$A$2:$A$96,0)),"")="","",IFERROR(INDEX(Spots!$K$2:$K$96,MATCH(A302,Spots!$A$2:$A$96,0)),""))</f>
        <v/>
      </c>
      <c r="L302" s="3">
        <f>IF(OR(K302="",F302=""),"",F302/1000*K302*100)</f>
        <v/>
      </c>
      <c r="M302">
        <f>IF(OR(L302="",L302=0),"",ROUND(100/L302,0))</f>
        <v/>
      </c>
      <c r="N302" t="inlineStr">
        <is>
          <t>low sample</t>
        </is>
      </c>
    </row>
    <row r="303">
      <c r="A303" t="n">
        <v>85</v>
      </c>
      <c r="B303" t="inlineStr">
        <is>
          <t>Crescent Shrine</t>
        </is>
      </c>
      <c r="C303" t="inlineStr">
        <is>
          <t>Imperfect Lightstone of Earth</t>
        </is>
      </c>
      <c r="D303" t="n">
        <v>0.09354777</v>
      </c>
      <c r="E303" t="n">
        <v>11172</v>
      </c>
      <c r="F303" s="3" t="n">
        <v>0.008373412996777659</v>
      </c>
      <c r="G303" t="n">
        <v>119426</v>
      </c>
      <c r="H303" s="3" t="n">
        <v>7.454393444935175e-05</v>
      </c>
      <c r="I303" s="3" t="n">
        <v>0.0486790326781693</v>
      </c>
      <c r="J303" t="n">
        <v>0.9</v>
      </c>
      <c r="K303">
        <f>IF(IFERROR(INDEX(Spots!$K$2:$K$96,MATCH(A303,Spots!$A$2:$A$96,0)),"")="","",IFERROR(INDEX(Spots!$K$2:$K$96,MATCH(A303,Spots!$A$2:$A$96,0)),""))</f>
        <v/>
      </c>
      <c r="L303" s="3">
        <f>IF(OR(K303="",F303=""),"",F303/1000*K303*100)</f>
        <v/>
      </c>
      <c r="M303">
        <f>IF(OR(L303="",L303=0),"",ROUND(100/L303,0))</f>
        <v/>
      </c>
      <c r="N303" t="inlineStr">
        <is>
          <t>low sample</t>
        </is>
      </c>
    </row>
    <row r="304">
      <c r="A304" t="n">
        <v>85</v>
      </c>
      <c r="B304" t="inlineStr">
        <is>
          <t>Crescent Shrine</t>
        </is>
      </c>
      <c r="C304" t="inlineStr">
        <is>
          <t>Great Marni's Stone (Crescent Shrine)</t>
        </is>
      </c>
      <c r="D304" t="n">
        <v>0.02185694</v>
      </c>
      <c r="E304" t="n">
        <v>11172</v>
      </c>
      <c r="F304" s="3" t="n">
        <v>0.00195640350877193</v>
      </c>
      <c r="G304" t="n">
        <v>511142</v>
      </c>
      <c r="H304" s="3" t="n">
        <v>0</v>
      </c>
      <c r="I304" s="3" t="n">
        <v>0.03675185957798691</v>
      </c>
      <c r="J304" t="n">
        <v>0.2</v>
      </c>
      <c r="K304">
        <f>IF(IFERROR(INDEX(Spots!$K$2:$K$96,MATCH(A304,Spots!$A$2:$A$96,0)),"")="","",IFERROR(INDEX(Spots!$K$2:$K$96,MATCH(A304,Spots!$A$2:$A$96,0)),""))</f>
        <v/>
      </c>
      <c r="L304" s="3">
        <f>IF(OR(K304="",F304=""),"",F304/1000*K304*100)</f>
        <v/>
      </c>
      <c r="M304">
        <f>IF(OR(L304="",L304=0),"",ROUND(100/L304,0))</f>
        <v/>
      </c>
      <c r="N304" t="inlineStr">
        <is>
          <t>low sample</t>
        </is>
      </c>
    </row>
    <row r="305">
      <c r="A305" t="n">
        <v>85</v>
      </c>
      <c r="B305" t="inlineStr">
        <is>
          <t>Crescent Shrine</t>
        </is>
      </c>
      <c r="C305" t="inlineStr">
        <is>
          <t>Part for Explorer's Compass</t>
        </is>
      </c>
      <c r="D305" t="n">
        <v>0.02098266</v>
      </c>
      <c r="E305" t="n">
        <v>11172</v>
      </c>
      <c r="F305" s="3" t="n">
        <v>0.001878147153598282</v>
      </c>
      <c r="G305" t="n">
        <v>532440</v>
      </c>
      <c r="H305" s="3" t="n">
        <v>0</v>
      </c>
      <c r="I305" s="3" t="n">
        <v>0.03659549283591541</v>
      </c>
      <c r="J305" t="n">
        <v>0.2</v>
      </c>
      <c r="K305">
        <f>IF(IFERROR(INDEX(Spots!$K$2:$K$96,MATCH(A305,Spots!$A$2:$A$96,0)),"")="","",IFERROR(INDEX(Spots!$K$2:$K$96,MATCH(A305,Spots!$A$2:$A$96,0)),""))</f>
        <v/>
      </c>
      <c r="L305" s="3">
        <f>IF(OR(K305="",F305=""),"",F305/1000*K305*100)</f>
        <v/>
      </c>
      <c r="M305">
        <f>IF(OR(L305="",L305=0),"",ROUND(100/L305,0))</f>
        <v/>
      </c>
      <c r="N305" t="inlineStr">
        <is>
          <t>low sample</t>
        </is>
      </c>
    </row>
    <row r="306">
      <c r="A306" t="n">
        <v>85</v>
      </c>
      <c r="B306" t="inlineStr">
        <is>
          <t>Crescent Shrine</t>
        </is>
      </c>
      <c r="C306" t="inlineStr">
        <is>
          <t>Specter's Energy</t>
        </is>
      </c>
      <c r="D306" t="n">
        <v>0</v>
      </c>
      <c r="E306" t="n">
        <v>11172</v>
      </c>
      <c r="F306" s="3" t="n">
        <v>0</v>
      </c>
      <c r="H306" s="3" t="n">
        <v>0</v>
      </c>
      <c r="I306" s="3" t="n">
        <v>0.03291034896210626</v>
      </c>
      <c r="J306" t="n">
        <v>0</v>
      </c>
      <c r="K306">
        <f>IF(IFERROR(INDEX(Spots!$K$2:$K$96,MATCH(A306,Spots!$A$2:$A$96,0)),"")="","",IFERROR(INDEX(Spots!$K$2:$K$96,MATCH(A306,Spots!$A$2:$A$96,0)),""))</f>
        <v/>
      </c>
      <c r="L306" s="3">
        <f>IF(OR(K306="",F306=""),"",F306/1000*K306*100)</f>
        <v/>
      </c>
      <c r="M306">
        <f>IF(OR(L306="",L306=0),"",ROUND(100/L306,0))</f>
        <v/>
      </c>
      <c r="N306" t="inlineStr">
        <is>
          <t>no drops recorded</t>
        </is>
      </c>
    </row>
    <row r="307">
      <c r="A307" t="n">
        <v>8</v>
      </c>
      <c r="B307" t="inlineStr">
        <is>
          <t>Crypt of Resting Thoughts</t>
        </is>
      </c>
      <c r="C307" t="inlineStr">
        <is>
          <t>Black Stone</t>
        </is>
      </c>
      <c r="D307" t="n">
        <v>38.473</v>
      </c>
      <c r="E307" t="n">
        <v>6186.6</v>
      </c>
      <c r="F307" s="3" t="n">
        <v>6.218763133223418</v>
      </c>
      <c r="G307" t="n">
        <v>161</v>
      </c>
      <c r="H307" s="3" t="n">
        <v>6.168471209182794</v>
      </c>
      <c r="I307" s="3" t="n">
        <v>6.269363151957265</v>
      </c>
      <c r="J307" t="n">
        <v>58504</v>
      </c>
      <c r="K307">
        <f>IF(IFERROR(INDEX(Spots!$K$2:$K$96,MATCH(A307,Spots!$A$2:$A$96,0)),"")="","",IFERROR(INDEX(Spots!$K$2:$K$96,MATCH(A307,Spots!$A$2:$A$96,0)),""))</f>
        <v/>
      </c>
      <c r="L307" s="3">
        <f>IF(OR(K307="",F307=""),"",F307/1000*K307*100)</f>
        <v/>
      </c>
      <c r="M307">
        <f>IF(OR(L307="",L307=0),"",ROUND(100/L307,0))</f>
        <v/>
      </c>
      <c r="N307" t="inlineStr"/>
    </row>
    <row r="308">
      <c r="A308" t="n">
        <v>8</v>
      </c>
      <c r="B308" t="inlineStr">
        <is>
          <t>Crypt of Resting Thoughts</t>
        </is>
      </c>
      <c r="C308" t="inlineStr">
        <is>
          <t>Ancient Spirit Dust</t>
        </is>
      </c>
      <c r="D308" t="n">
        <v>17.627</v>
      </c>
      <c r="E308" t="n">
        <v>6186.6</v>
      </c>
      <c r="F308" s="3" t="n">
        <v>2.849222513173633</v>
      </c>
      <c r="G308" t="n">
        <v>351</v>
      </c>
      <c r="H308" s="3" t="n">
        <v>2.815213543213263</v>
      </c>
      <c r="I308" s="3" t="n">
        <v>2.883539782963997</v>
      </c>
      <c r="J308" t="n">
        <v>26804.5</v>
      </c>
      <c r="K308">
        <f>IF(IFERROR(INDEX(Spots!$K$2:$K$96,MATCH(A308,Spots!$A$2:$A$96,0)),"")="","",IFERROR(INDEX(Spots!$K$2:$K$96,MATCH(A308,Spots!$A$2:$A$96,0)),""))</f>
        <v/>
      </c>
      <c r="L308" s="3">
        <f>IF(OR(K308="",F308=""),"",F308/1000*K308*100)</f>
        <v/>
      </c>
      <c r="M308">
        <f>IF(OR(L308="",L308=0),"",ROUND(100/L308,0))</f>
        <v/>
      </c>
      <c r="N308" t="inlineStr"/>
    </row>
    <row r="309">
      <c r="A309" t="n">
        <v>8</v>
      </c>
      <c r="B309" t="inlineStr">
        <is>
          <t>Crypt of Resting Thoughts</t>
        </is>
      </c>
      <c r="C309" t="inlineStr">
        <is>
          <t>Caphras Stone</t>
        </is>
      </c>
      <c r="D309" t="n">
        <v>12.677</v>
      </c>
      <c r="E309" t="n">
        <v>6186.6</v>
      </c>
      <c r="F309" s="3" t="n">
        <v>2.049106132609187</v>
      </c>
      <c r="G309" t="n">
        <v>488</v>
      </c>
      <c r="H309" s="3" t="n">
        <v>2.020280318916419</v>
      </c>
      <c r="I309" s="3" t="n">
        <v>2.078240359811646</v>
      </c>
      <c r="J309" t="n">
        <v>19277.3</v>
      </c>
      <c r="K309">
        <f>IF(IFERROR(INDEX(Spots!$K$2:$K$96,MATCH(A309,Spots!$A$2:$A$96,0)),"")="","",IFERROR(INDEX(Spots!$K$2:$K$96,MATCH(A309,Spots!$A$2:$A$96,0)),""))</f>
        <v/>
      </c>
      <c r="L309" s="3">
        <f>IF(OR(K309="",F309=""),"",F309/1000*K309*100)</f>
        <v/>
      </c>
      <c r="M309">
        <f>IF(OR(L309="",L309=0),"",ROUND(100/L309,0))</f>
        <v/>
      </c>
      <c r="N309" t="inlineStr"/>
    </row>
    <row r="310">
      <c r="A310" t="n">
        <v>8</v>
      </c>
      <c r="B310" t="inlineStr">
        <is>
          <t>Crypt of Resting Thoughts</t>
        </is>
      </c>
      <c r="C310" t="inlineStr">
        <is>
          <t>Venomous Night Fang</t>
        </is>
      </c>
      <c r="D310" t="n">
        <v>3.341928</v>
      </c>
      <c r="E310" t="n">
        <v>6186.6</v>
      </c>
      <c r="F310" s="3" t="n">
        <v>0.5401881485791872</v>
      </c>
      <c r="G310" t="n">
        <v>1851</v>
      </c>
      <c r="H310" s="3" t="n">
        <v>0.5254369612209113</v>
      </c>
      <c r="I310" s="3" t="n">
        <v>0.5552484571595336</v>
      </c>
      <c r="J310" t="n">
        <v>5081.9</v>
      </c>
      <c r="K310">
        <f>IF(IFERROR(INDEX(Spots!$K$2:$K$96,MATCH(A310,Spots!$A$2:$A$96,0)),"")="","",IFERROR(INDEX(Spots!$K$2:$K$96,MATCH(A310,Spots!$A$2:$A$96,0)),""))</f>
        <v/>
      </c>
      <c r="L310" s="3">
        <f>IF(OR(K310="",F310=""),"",F310/1000*K310*100)</f>
        <v/>
      </c>
      <c r="M310">
        <f>IF(OR(L310="",L310=0),"",ROUND(100/L310,0))</f>
        <v/>
      </c>
      <c r="N310" t="inlineStr"/>
    </row>
    <row r="311">
      <c r="A311" t="n">
        <v>8</v>
      </c>
      <c r="B311" t="inlineStr">
        <is>
          <t>Crypt of Resting Thoughts</t>
        </is>
      </c>
      <c r="C311" t="inlineStr">
        <is>
          <t>Quturan's Black Leaf</t>
        </is>
      </c>
      <c r="D311" t="n">
        <v>1.028878</v>
      </c>
      <c r="E311" t="n">
        <v>6186.6</v>
      </c>
      <c r="F311" s="3" t="n">
        <v>0.1663075033136133</v>
      </c>
      <c r="G311" t="n">
        <v>6013</v>
      </c>
      <c r="H311" s="3" t="n">
        <v>0.1581677638363365</v>
      </c>
      <c r="I311" s="3" t="n">
        <v>0.1747575261981848</v>
      </c>
      <c r="J311" t="n">
        <v>1564.6</v>
      </c>
      <c r="K311">
        <f>IF(IFERROR(INDEX(Spots!$K$2:$K$96,MATCH(A311,Spots!$A$2:$A$96,0)),"")="","",IFERROR(INDEX(Spots!$K$2:$K$96,MATCH(A311,Spots!$A$2:$A$96,0)),""))</f>
        <v/>
      </c>
      <c r="L311" s="3">
        <f>IF(OR(K311="",F311=""),"",F311/1000*K311*100)</f>
        <v/>
      </c>
      <c r="M311">
        <f>IF(OR(L311="",L311=0),"",ROUND(100/L311,0))</f>
        <v/>
      </c>
      <c r="N311" t="inlineStr"/>
    </row>
    <row r="312">
      <c r="A312" t="n">
        <v>8</v>
      </c>
      <c r="B312" t="inlineStr">
        <is>
          <t>Crypt of Resting Thoughts</t>
        </is>
      </c>
      <c r="C312" t="inlineStr">
        <is>
          <t>Quturan's Ashen Leaf</t>
        </is>
      </c>
      <c r="D312" t="n">
        <v>1.026108</v>
      </c>
      <c r="E312" t="n">
        <v>6186.6</v>
      </c>
      <c r="F312" s="3" t="n">
        <v>0.1658597614198429</v>
      </c>
      <c r="G312" t="n">
        <v>6029</v>
      </c>
      <c r="H312" s="3" t="n">
        <v>0.1577311231775296</v>
      </c>
      <c r="I312" s="3" t="n">
        <v>0.1742986865820305</v>
      </c>
      <c r="J312" t="n">
        <v>1560.4</v>
      </c>
      <c r="K312">
        <f>IF(IFERROR(INDEX(Spots!$K$2:$K$96,MATCH(A312,Spots!$A$2:$A$96,0)),"")="","",IFERROR(INDEX(Spots!$K$2:$K$96,MATCH(A312,Spots!$A$2:$A$96,0)),""))</f>
        <v/>
      </c>
      <c r="L312" s="3">
        <f>IF(OR(K312="",F312=""),"",F312/1000*K312*100)</f>
        <v/>
      </c>
      <c r="M312">
        <f>IF(OR(L312="",L312=0),"",ROUND(100/L312,0))</f>
        <v/>
      </c>
      <c r="N312" t="inlineStr"/>
    </row>
    <row r="313">
      <c r="A313" t="n">
        <v>8</v>
      </c>
      <c r="B313" t="inlineStr">
        <is>
          <t>Crypt of Resting Thoughts</t>
        </is>
      </c>
      <c r="C313" t="inlineStr">
        <is>
          <t>Imperfect Lightstone of Wind</t>
        </is>
      </c>
      <c r="D313" t="n">
        <v>0.7836237700000001</v>
      </c>
      <c r="E313" t="n">
        <v>6186.6</v>
      </c>
      <c r="F313" s="3" t="n">
        <v>0.1266646898134678</v>
      </c>
      <c r="G313" t="n">
        <v>7895</v>
      </c>
      <c r="H313" s="3" t="n">
        <v>0.1195739540822343</v>
      </c>
      <c r="I313" s="3" t="n">
        <v>0.1340660884468162</v>
      </c>
      <c r="J313" t="n">
        <v>1191.6</v>
      </c>
      <c r="K313">
        <f>IF(IFERROR(INDEX(Spots!$K$2:$K$96,MATCH(A313,Spots!$A$2:$A$96,0)),"")="","",IFERROR(INDEX(Spots!$K$2:$K$96,MATCH(A313,Spots!$A$2:$A$96,0)),""))</f>
        <v/>
      </c>
      <c r="L313" s="3">
        <f>IF(OR(K313="",F313=""),"",F313/1000*K313*100)</f>
        <v/>
      </c>
      <c r="M313">
        <f>IF(OR(L313="",L313=0),"",ROUND(100/L313,0))</f>
        <v/>
      </c>
      <c r="N313" t="inlineStr"/>
    </row>
    <row r="314">
      <c r="A314" t="n">
        <v>8</v>
      </c>
      <c r="B314" t="inlineStr">
        <is>
          <t>Crypt of Resting Thoughts</t>
        </is>
      </c>
      <c r="C314" t="inlineStr">
        <is>
          <t>Deboreka Belt</t>
        </is>
      </c>
      <c r="D314" t="n">
        <v>0.19754958</v>
      </c>
      <c r="E314" t="n">
        <v>6186.6</v>
      </c>
      <c r="F314" s="3" t="n">
        <v>0.03193184948113665</v>
      </c>
      <c r="G314" t="n">
        <v>31317</v>
      </c>
      <c r="H314" s="3" t="n">
        <v>0.02842245692149403</v>
      </c>
      <c r="I314" s="3" t="n">
        <v>0.03575483892329277</v>
      </c>
      <c r="J314" t="n">
        <v>300.4</v>
      </c>
      <c r="K314">
        <f>IF(IFERROR(INDEX(Spots!$K$2:$K$96,MATCH(A314,Spots!$A$2:$A$96,0)),"")="","",IFERROR(INDEX(Spots!$K$2:$K$96,MATCH(A314,Spots!$A$2:$A$96,0)),""))</f>
        <v/>
      </c>
      <c r="L314" s="3">
        <f>IF(OR(K314="",F314=""),"",F314/1000*K314*100)</f>
        <v/>
      </c>
      <c r="M314">
        <f>IF(OR(L314="",L314=0),"",ROUND(100/L314,0))</f>
        <v/>
      </c>
      <c r="N314" t="inlineStr"/>
    </row>
    <row r="315">
      <c r="A315" t="n">
        <v>8</v>
      </c>
      <c r="B315" t="inlineStr">
        <is>
          <t>Crypt of Resting Thoughts</t>
        </is>
      </c>
      <c r="C315" t="inlineStr">
        <is>
          <t>Any Artifact</t>
        </is>
      </c>
      <c r="D315" t="n">
        <v>0.17022937</v>
      </c>
      <c r="E315" t="n">
        <v>6186.6</v>
      </c>
      <c r="F315" s="3" t="n">
        <v>0.02751581967478097</v>
      </c>
      <c r="G315" t="n">
        <v>36343</v>
      </c>
      <c r="H315" s="3" t="n">
        <v>0.02426547463640703</v>
      </c>
      <c r="I315" s="3" t="n">
        <v>0.03108021318915026</v>
      </c>
      <c r="J315" t="n">
        <v>258.9</v>
      </c>
      <c r="K315">
        <f>IF(IFERROR(INDEX(Spots!$K$2:$K$96,MATCH(A315,Spots!$A$2:$A$96,0)),"")="","",IFERROR(INDEX(Spots!$K$2:$K$96,MATCH(A315,Spots!$A$2:$A$96,0)),""))</f>
        <v/>
      </c>
      <c r="L315" s="3">
        <f>IF(OR(K315="",F315=""),"",F315/1000*K315*100)</f>
        <v/>
      </c>
      <c r="M315">
        <f>IF(OR(L315="",L315=0),"",ROUND(100/L315,0))</f>
        <v/>
      </c>
      <c r="N315" t="inlineStr"/>
    </row>
    <row r="316">
      <c r="A316" t="n">
        <v>8</v>
      </c>
      <c r="B316" t="inlineStr">
        <is>
          <t>Crypt of Resting Thoughts</t>
        </is>
      </c>
      <c r="C316" t="inlineStr">
        <is>
          <t>Imperfect Lightstone of Fire</t>
        </is>
      </c>
      <c r="D316" t="n">
        <v>0.13820496</v>
      </c>
      <c r="E316" t="n">
        <v>6186.6</v>
      </c>
      <c r="F316" s="3" t="n">
        <v>0.02233940451944525</v>
      </c>
      <c r="G316" t="n">
        <v>44764</v>
      </c>
      <c r="H316" s="3" t="n">
        <v>0.01942087540151082</v>
      </c>
      <c r="I316" s="3" t="n">
        <v>0.02557267169778389</v>
      </c>
      <c r="J316" t="n">
        <v>210.2</v>
      </c>
      <c r="K316">
        <f>IF(IFERROR(INDEX(Spots!$K$2:$K$96,MATCH(A316,Spots!$A$2:$A$96,0)),"")="","",IFERROR(INDEX(Spots!$K$2:$K$96,MATCH(A316,Spots!$A$2:$A$96,0)),""))</f>
        <v/>
      </c>
      <c r="L316" s="3">
        <f>IF(OR(K316="",F316=""),"",F316/1000*K316*100)</f>
        <v/>
      </c>
      <c r="M316">
        <f>IF(OR(L316="",L316=0),"",ROUND(100/L316,0))</f>
        <v/>
      </c>
      <c r="N316" t="inlineStr"/>
    </row>
    <row r="317">
      <c r="A317" t="n">
        <v>8</v>
      </c>
      <c r="B317" t="inlineStr">
        <is>
          <t>Crypt of Resting Thoughts</t>
        </is>
      </c>
      <c r="C317" t="inlineStr">
        <is>
          <t>Imperfect Lightstone of Earth</t>
        </is>
      </c>
      <c r="D317" t="n">
        <v>0.12148819</v>
      </c>
      <c r="E317" t="n">
        <v>6186.6</v>
      </c>
      <c r="F317" s="3" t="n">
        <v>0.01963731128568195</v>
      </c>
      <c r="G317" t="n">
        <v>50923</v>
      </c>
      <c r="H317" s="3" t="n">
        <v>0.01690739910885387</v>
      </c>
      <c r="I317" s="3" t="n">
        <v>0.02268242415384227</v>
      </c>
      <c r="J317" t="n">
        <v>184.7</v>
      </c>
      <c r="K317">
        <f>IF(IFERROR(INDEX(Spots!$K$2:$K$96,MATCH(A317,Spots!$A$2:$A$96,0)),"")="","",IFERROR(INDEX(Spots!$K$2:$K$96,MATCH(A317,Spots!$A$2:$A$96,0)),""))</f>
        <v/>
      </c>
      <c r="L317" s="3">
        <f>IF(OR(K317="",F317=""),"",F317/1000*K317*100)</f>
        <v/>
      </c>
      <c r="M317">
        <f>IF(OR(L317="",L317=0),"",ROUND(100/L317,0))</f>
        <v/>
      </c>
      <c r="N317" t="inlineStr"/>
    </row>
    <row r="318">
      <c r="A318" t="n">
        <v>8</v>
      </c>
      <c r="B318" t="inlineStr">
        <is>
          <t>Crypt of Resting Thoughts</t>
        </is>
      </c>
      <c r="C318" t="inlineStr">
        <is>
          <t>Ah'krad</t>
        </is>
      </c>
      <c r="D318" t="n">
        <v>0.10560708</v>
      </c>
      <c r="E318" t="n">
        <v>6186.6</v>
      </c>
      <c r="F318" s="3" t="n">
        <v>0.01707029386092522</v>
      </c>
      <c r="G318" t="n">
        <v>58581</v>
      </c>
      <c r="H318" s="3" t="n">
        <v>0.0145320266959432</v>
      </c>
      <c r="I318" s="3" t="n">
        <v>0.01992429804889621</v>
      </c>
      <c r="J318" t="n">
        <v>160.6</v>
      </c>
      <c r="K318">
        <f>IF(IFERROR(INDEX(Spots!$K$2:$K$96,MATCH(A318,Spots!$A$2:$A$96,0)),"")="","",IFERROR(INDEX(Spots!$K$2:$K$96,MATCH(A318,Spots!$A$2:$A$96,0)),""))</f>
        <v/>
      </c>
      <c r="L318" s="3">
        <f>IF(OR(K318="",F318=""),"",F318/1000*K318*100)</f>
        <v/>
      </c>
      <c r="M318">
        <f>IF(OR(L318="",L318=0),"",ROUND(100/L318,0))</f>
        <v/>
      </c>
      <c r="N318" t="inlineStr"/>
    </row>
    <row r="319">
      <c r="A319" t="n">
        <v>8</v>
      </c>
      <c r="B319" t="inlineStr">
        <is>
          <t>Crypt of Resting Thoughts</t>
        </is>
      </c>
      <c r="C319" t="inlineStr">
        <is>
          <t>Crypt of Resting Thoughts Paint</t>
        </is>
      </c>
      <c r="D319" t="n">
        <v>0.03543762</v>
      </c>
      <c r="E319" t="n">
        <v>6186.6</v>
      </c>
      <c r="F319" s="3" t="n">
        <v>0.005728125303074386</v>
      </c>
      <c r="G319" t="n">
        <v>174577</v>
      </c>
      <c r="H319" s="3" t="n">
        <v>0.004301461861390712</v>
      </c>
      <c r="I319" s="3" t="n">
        <v>0.00747618749279871</v>
      </c>
      <c r="J319" t="n">
        <v>53.9</v>
      </c>
      <c r="K319">
        <f>IF(IFERROR(INDEX(Spots!$K$2:$K$96,MATCH(A319,Spots!$A$2:$A$96,0)),"")="","",IFERROR(INDEX(Spots!$K$2:$K$96,MATCH(A319,Spots!$A$2:$A$96,0)),""))</f>
        <v/>
      </c>
      <c r="L319" s="3">
        <f>IF(OR(K319="",F319=""),"",F319/1000*K319*100)</f>
        <v/>
      </c>
      <c r="M319">
        <f>IF(OR(L319="",L319=0),"",ROUND(100/L319,0))</f>
        <v/>
      </c>
      <c r="N319" t="inlineStr"/>
    </row>
    <row r="320">
      <c r="A320" t="n">
        <v>8</v>
      </c>
      <c r="B320" t="inlineStr">
        <is>
          <t>Crypt of Resting Thoughts</t>
        </is>
      </c>
      <c r="C320" t="inlineStr">
        <is>
          <t>Al Yurad's Ring Piece</t>
        </is>
      </c>
      <c r="D320" t="n">
        <v>0.01453724</v>
      </c>
      <c r="E320" t="n">
        <v>6186.6</v>
      </c>
      <c r="F320" s="3" t="n">
        <v>0.002349794717615491</v>
      </c>
      <c r="G320" t="n">
        <v>425569</v>
      </c>
      <c r="H320" s="3" t="n">
        <v>0.001473931397303451</v>
      </c>
      <c r="I320" s="3" t="n">
        <v>0.003554318385468168</v>
      </c>
      <c r="J320" t="n">
        <v>22.1</v>
      </c>
      <c r="K320">
        <f>IF(IFERROR(INDEX(Spots!$K$2:$K$96,MATCH(A320,Spots!$A$2:$A$96,0)),"")="","",IFERROR(INDEX(Spots!$K$2:$K$96,MATCH(A320,Spots!$A$2:$A$96,0)),""))</f>
        <v/>
      </c>
      <c r="L320" s="3">
        <f>IF(OR(K320="",F320=""),"",F320/1000*K320*100)</f>
        <v/>
      </c>
      <c r="M320">
        <f>IF(OR(L320="",L320=0),"",ROUND(100/L320,0))</f>
        <v/>
      </c>
      <c r="N320" t="inlineStr">
        <is>
          <t>low sample</t>
        </is>
      </c>
    </row>
    <row r="321">
      <c r="A321" t="n">
        <v>8</v>
      </c>
      <c r="B321" t="inlineStr">
        <is>
          <t>Crypt of Resting Thoughts</t>
        </is>
      </c>
      <c r="C321" t="inlineStr">
        <is>
          <t>Forgotten Limbo Box</t>
        </is>
      </c>
      <c r="D321" t="n">
        <v>0.0145309</v>
      </c>
      <c r="E321" t="n">
        <v>6186.6</v>
      </c>
      <c r="F321" s="3" t="n">
        <v>0.002348769922089677</v>
      </c>
      <c r="G321" t="n">
        <v>425755</v>
      </c>
      <c r="H321" s="3" t="n">
        <v>0.001473120763668729</v>
      </c>
      <c r="I321" s="3" t="n">
        <v>0.003553083727442632</v>
      </c>
      <c r="J321" t="n">
        <v>22.1</v>
      </c>
      <c r="K321">
        <f>IF(IFERROR(INDEX(Spots!$K$2:$K$96,MATCH(A321,Spots!$A$2:$A$96,0)),"")="","",IFERROR(INDEX(Spots!$K$2:$K$96,MATCH(A321,Spots!$A$2:$A$96,0)),""))</f>
        <v/>
      </c>
      <c r="L321" s="3">
        <f>IF(OR(K321="",F321=""),"",F321/1000*K321*100)</f>
        <v/>
      </c>
      <c r="M321">
        <f>IF(OR(L321="",L321=0),"",ROUND(100/L321,0))</f>
        <v/>
      </c>
      <c r="N321" t="inlineStr">
        <is>
          <t>low sample</t>
        </is>
      </c>
    </row>
    <row r="322">
      <c r="A322" t="n">
        <v>8</v>
      </c>
      <c r="B322" t="inlineStr">
        <is>
          <t>Crypt of Resting Thoughts</t>
        </is>
      </c>
      <c r="C322" t="inlineStr">
        <is>
          <t>Quturan's Left Lung</t>
        </is>
      </c>
      <c r="D322" t="n">
        <v>0.00623544</v>
      </c>
      <c r="E322" t="n">
        <v>6186.6</v>
      </c>
      <c r="F322" s="3" t="n">
        <v>0.001007894481621569</v>
      </c>
      <c r="G322" t="n">
        <v>992167</v>
      </c>
      <c r="H322" s="3" t="n">
        <v>0.0004711787979788387</v>
      </c>
      <c r="I322" s="3" t="n">
        <v>0.001883258446223098</v>
      </c>
      <c r="J322" t="n">
        <v>9.5</v>
      </c>
      <c r="K322">
        <f>IF(IFERROR(INDEX(Spots!$K$2:$K$96,MATCH(A322,Spots!$A$2:$A$96,0)),"")="","",IFERROR(INDEX(Spots!$K$2:$K$96,MATCH(A322,Spots!$A$2:$A$96,0)),""))</f>
        <v/>
      </c>
      <c r="L322" s="3">
        <f>IF(OR(K322="",F322=""),"",F322/1000*K322*100)</f>
        <v/>
      </c>
      <c r="M322">
        <f>IF(OR(L322="",L322=0),"",ROUND(100/L322,0))</f>
        <v/>
      </c>
      <c r="N322" t="inlineStr">
        <is>
          <t>low sample</t>
        </is>
      </c>
    </row>
    <row r="323">
      <c r="A323" t="n">
        <v>8</v>
      </c>
      <c r="B323" t="inlineStr">
        <is>
          <t>Crypt of Resting Thoughts</t>
        </is>
      </c>
      <c r="C323" t="inlineStr">
        <is>
          <t>Quturan's Right Lung</t>
        </is>
      </c>
      <c r="D323" t="n">
        <v>0.00509381</v>
      </c>
      <c r="E323" t="n">
        <v>6186.6</v>
      </c>
      <c r="F323" s="3" t="n">
        <v>0.0008233617819157534</v>
      </c>
      <c r="G323" t="n">
        <v>1214533</v>
      </c>
      <c r="H323" s="3" t="n">
        <v>0.000348620501230055</v>
      </c>
      <c r="I323" s="3" t="n">
        <v>0.001639665593497606</v>
      </c>
      <c r="J323" t="n">
        <v>7.7</v>
      </c>
      <c r="K323">
        <f>IF(IFERROR(INDEX(Spots!$K$2:$K$96,MATCH(A323,Spots!$A$2:$A$96,0)),"")="","",IFERROR(INDEX(Spots!$K$2:$K$96,MATCH(A323,Spots!$A$2:$A$96,0)),""))</f>
        <v/>
      </c>
      <c r="L323" s="3">
        <f>IF(OR(K323="",F323=""),"",F323/1000*K323*100)</f>
        <v/>
      </c>
      <c r="M323">
        <f>IF(OR(L323="",L323=0),"",ROUND(100/L323,0))</f>
        <v/>
      </c>
      <c r="N323" t="inlineStr">
        <is>
          <t>low sample</t>
        </is>
      </c>
    </row>
    <row r="324">
      <c r="A324" t="n">
        <v>208</v>
      </c>
      <c r="B324" t="inlineStr">
        <is>
          <t>Dark Energy Floodlands (Great Red Sea)</t>
        </is>
      </c>
      <c r="C324" t="inlineStr">
        <is>
          <t>Faded Dark Energy</t>
        </is>
      </c>
      <c r="D324" t="n">
        <v>171.37</v>
      </c>
      <c r="E324" t="n">
        <v>7298.6</v>
      </c>
      <c r="F324" s="3" t="n">
        <v>23.47984544981229</v>
      </c>
      <c r="G324" t="n">
        <v>43</v>
      </c>
      <c r="H324" s="3" t="n">
        <v>23.37507366290829</v>
      </c>
      <c r="I324" s="3" t="n">
        <v>23.58497052749192</v>
      </c>
      <c r="J324" t="n">
        <v>192511.3</v>
      </c>
      <c r="K324">
        <f>IF(IFERROR(INDEX(Spots!$K$2:$K$96,MATCH(A324,Spots!$A$2:$A$96,0)),"")="","",IFERROR(INDEX(Spots!$K$2:$K$96,MATCH(A324,Spots!$A$2:$A$96,0)),""))</f>
        <v/>
      </c>
      <c r="L324" s="3">
        <f>IF(OR(K324="",F324=""),"",F324/1000*K324*100)</f>
        <v/>
      </c>
      <c r="M324">
        <f>IF(OR(L324="",L324=0),"",ROUND(100/L324,0))</f>
        <v/>
      </c>
      <c r="N324" t="inlineStr"/>
    </row>
    <row r="325">
      <c r="A325" t="n">
        <v>208</v>
      </c>
      <c r="B325" t="inlineStr">
        <is>
          <t>Dark Energy Floodlands (Great Red Sea)</t>
        </is>
      </c>
      <c r="C325" t="inlineStr">
        <is>
          <t>Ancient Spirit Dust</t>
        </is>
      </c>
      <c r="D325" t="n">
        <v>23.251</v>
      </c>
      <c r="E325" t="n">
        <v>7298.6</v>
      </c>
      <c r="F325" s="3" t="n">
        <v>3.185679445373085</v>
      </c>
      <c r="G325" t="n">
        <v>314</v>
      </c>
      <c r="H325" s="3" t="n">
        <v>3.147160476902616</v>
      </c>
      <c r="I325" s="3" t="n">
        <v>3.224552170923462</v>
      </c>
      <c r="J325" t="n">
        <v>26119.4</v>
      </c>
      <c r="K325">
        <f>IF(IFERROR(INDEX(Spots!$K$2:$K$96,MATCH(A325,Spots!$A$2:$A$96,0)),"")="","",IFERROR(INDEX(Spots!$K$2:$K$96,MATCH(A325,Spots!$A$2:$A$96,0)),""))</f>
        <v/>
      </c>
      <c r="L325" s="3">
        <f>IF(OR(K325="",F325=""),"",F325/1000*K325*100)</f>
        <v/>
      </c>
      <c r="M325">
        <f>IF(OR(L325="",L325=0),"",ROUND(100/L325,0))</f>
        <v/>
      </c>
      <c r="N325" t="inlineStr"/>
    </row>
    <row r="326">
      <c r="A326" t="n">
        <v>208</v>
      </c>
      <c r="B326" t="inlineStr">
        <is>
          <t>Dark Energy Floodlands (Great Red Sea)</t>
        </is>
      </c>
      <c r="C326" t="inlineStr">
        <is>
          <t>Black Stone</t>
        </is>
      </c>
      <c r="D326" t="n">
        <v>19.538</v>
      </c>
      <c r="E326" t="n">
        <v>7298.6</v>
      </c>
      <c r="F326" s="3" t="n">
        <v>2.676951744170115</v>
      </c>
      <c r="G326" t="n">
        <v>374</v>
      </c>
      <c r="H326" s="3" t="n">
        <v>2.641651701696295</v>
      </c>
      <c r="I326" s="3" t="n">
        <v>2.712605610755416</v>
      </c>
      <c r="J326" t="n">
        <v>21948.3</v>
      </c>
      <c r="K326">
        <f>IF(IFERROR(INDEX(Spots!$K$2:$K$96,MATCH(A326,Spots!$A$2:$A$96,0)),"")="","",IFERROR(INDEX(Spots!$K$2:$K$96,MATCH(A326,Spots!$A$2:$A$96,0)),""))</f>
        <v/>
      </c>
      <c r="L326" s="3">
        <f>IF(OR(K326="",F326=""),"",F326/1000*K326*100)</f>
        <v/>
      </c>
      <c r="M326">
        <f>IF(OR(L326="",L326=0),"",ROUND(100/L326,0))</f>
        <v/>
      </c>
      <c r="N326" t="inlineStr"/>
    </row>
    <row r="327">
      <c r="A327" t="n">
        <v>208</v>
      </c>
      <c r="B327" t="inlineStr">
        <is>
          <t>Dark Energy Floodlands (Great Red Sea)</t>
        </is>
      </c>
      <c r="C327" t="inlineStr">
        <is>
          <t>Caphras Stone</t>
        </is>
      </c>
      <c r="D327" t="n">
        <v>10.556</v>
      </c>
      <c r="E327" t="n">
        <v>7298.6</v>
      </c>
      <c r="F327" s="3" t="n">
        <v>1.446304770777957</v>
      </c>
      <c r="G327" t="n">
        <v>691</v>
      </c>
      <c r="H327" s="3" t="n">
        <v>1.420388597452381</v>
      </c>
      <c r="I327" s="3" t="n">
        <v>1.472575058039878</v>
      </c>
      <c r="J327" t="n">
        <v>11858.3</v>
      </c>
      <c r="K327">
        <f>IF(IFERROR(INDEX(Spots!$K$2:$K$96,MATCH(A327,Spots!$A$2:$A$96,0)),"")="","",IFERROR(INDEX(Spots!$K$2:$K$96,MATCH(A327,Spots!$A$2:$A$96,0)),""))</f>
        <v/>
      </c>
      <c r="L327" s="3">
        <f>IF(OR(K327="",F327=""),"",F327/1000*K327*100)</f>
        <v/>
      </c>
      <c r="M327">
        <f>IF(OR(L327="",L327=0),"",ROUND(100/L327,0))</f>
        <v/>
      </c>
      <c r="N327" t="inlineStr"/>
    </row>
    <row r="328">
      <c r="A328" t="n">
        <v>208</v>
      </c>
      <c r="B328" t="inlineStr">
        <is>
          <t>Dark Energy Floodlands (Great Red Sea)</t>
        </is>
      </c>
      <c r="C328" t="inlineStr">
        <is>
          <t>HAN Crystal of Ruin</t>
        </is>
      </c>
      <c r="D328" t="n">
        <v>1.570341</v>
      </c>
      <c r="E328" t="n">
        <v>7298.6</v>
      </c>
      <c r="F328" s="3" t="n">
        <v>0.2151564683637958</v>
      </c>
      <c r="G328" t="n">
        <v>4648</v>
      </c>
      <c r="H328" s="3" t="n">
        <v>0.2052320026910081</v>
      </c>
      <c r="I328" s="3" t="n">
        <v>0.2254367835225748</v>
      </c>
      <c r="J328" t="n">
        <v>1764.1</v>
      </c>
      <c r="K328">
        <f>IF(IFERROR(INDEX(Spots!$K$2:$K$96,MATCH(A328,Spots!$A$2:$A$96,0)),"")="","",IFERROR(INDEX(Spots!$K$2:$K$96,MATCH(A328,Spots!$A$2:$A$96,0)),""))</f>
        <v/>
      </c>
      <c r="L328" s="3">
        <f>IF(OR(K328="",F328=""),"",F328/1000*K328*100)</f>
        <v/>
      </c>
      <c r="M328">
        <f>IF(OR(L328="",L328=0),"",ROUND(100/L328,0))</f>
        <v/>
      </c>
      <c r="N328" t="inlineStr"/>
    </row>
    <row r="329">
      <c r="A329" t="n">
        <v>208</v>
      </c>
      <c r="B329" t="inlineStr">
        <is>
          <t>Dark Energy Floodlands (Great Red Sea)</t>
        </is>
      </c>
      <c r="C329" t="inlineStr">
        <is>
          <t>Herald's Crystal</t>
        </is>
      </c>
      <c r="D329" t="n">
        <v>1.248161</v>
      </c>
      <c r="E329" t="n">
        <v>7298.6</v>
      </c>
      <c r="F329" s="3" t="n">
        <v>0.1710137560628066</v>
      </c>
      <c r="G329" t="n">
        <v>5847</v>
      </c>
      <c r="H329" s="3" t="n">
        <v>0.1621783817389205</v>
      </c>
      <c r="I329" s="3" t="n">
        <v>0.1802053222313576</v>
      </c>
      <c r="J329" t="n">
        <v>1402.1</v>
      </c>
      <c r="K329">
        <f>IF(IFERROR(INDEX(Spots!$K$2:$K$96,MATCH(A329,Spots!$A$2:$A$96,0)),"")="","",IFERROR(INDEX(Spots!$K$2:$K$96,MATCH(A329,Spots!$A$2:$A$96,0)),""))</f>
        <v/>
      </c>
      <c r="L329" s="3">
        <f>IF(OR(K329="",F329=""),"",F329/1000*K329*100)</f>
        <v/>
      </c>
      <c r="M329">
        <f>IF(OR(L329="",L329=0),"",ROUND(100/L329,0))</f>
        <v/>
      </c>
      <c r="N329" t="inlineStr"/>
    </row>
    <row r="330">
      <c r="A330" t="n">
        <v>208</v>
      </c>
      <c r="B330" t="inlineStr">
        <is>
          <t>Dark Energy Floodlands (Great Red Sea)</t>
        </is>
      </c>
      <c r="C330" t="inlineStr">
        <is>
          <t>Crystallized Energy of Endtimes</t>
        </is>
      </c>
      <c r="D330" t="n">
        <v>0.97881641</v>
      </c>
      <c r="E330" t="n">
        <v>7298.6</v>
      </c>
      <c r="F330" s="3" t="n">
        <v>0.1341101594826405</v>
      </c>
      <c r="G330" t="n">
        <v>7457</v>
      </c>
      <c r="H330" s="3" t="n">
        <v>0.1262992958046609</v>
      </c>
      <c r="I330" s="3" t="n">
        <v>0.1422776223274514</v>
      </c>
      <c r="J330" t="n">
        <v>1099.6</v>
      </c>
      <c r="K330">
        <f>IF(IFERROR(INDEX(Spots!$K$2:$K$96,MATCH(A330,Spots!$A$2:$A$96,0)),"")="","",IFERROR(INDEX(Spots!$K$2:$K$96,MATCH(A330,Spots!$A$2:$A$96,0)),""))</f>
        <v/>
      </c>
      <c r="L330" s="3">
        <f>IF(OR(K330="",F330=""),"",F330/1000*K330*100)</f>
        <v/>
      </c>
      <c r="M330">
        <f>IF(OR(L330="",L330=0),"",ROUND(100/L330,0))</f>
        <v/>
      </c>
      <c r="N330" t="inlineStr"/>
    </row>
    <row r="331">
      <c r="A331" t="n">
        <v>208</v>
      </c>
      <c r="B331" t="inlineStr">
        <is>
          <t>Dark Energy Floodlands (Great Red Sea)</t>
        </is>
      </c>
      <c r="C331" t="inlineStr">
        <is>
          <t>Distorted Fragment of Origin</t>
        </is>
      </c>
      <c r="D331" t="n">
        <v>0.55554523</v>
      </c>
      <c r="E331" t="n">
        <v>7298.6</v>
      </c>
      <c r="F331" s="3" t="n">
        <v>0.07611668402159318</v>
      </c>
      <c r="G331" t="n">
        <v>13138</v>
      </c>
      <c r="H331" s="3" t="n">
        <v>0.07026101421315563</v>
      </c>
      <c r="I331" s="3" t="n">
        <v>0.08233011450026634</v>
      </c>
      <c r="J331" t="n">
        <v>624.1</v>
      </c>
      <c r="K331">
        <f>IF(IFERROR(INDEX(Spots!$K$2:$K$96,MATCH(A331,Spots!$A$2:$A$96,0)),"")="","",IFERROR(INDEX(Spots!$K$2:$K$96,MATCH(A331,Spots!$A$2:$A$96,0)),""))</f>
        <v/>
      </c>
      <c r="L331" s="3">
        <f>IF(OR(K331="",F331=""),"",F331/1000*K331*100)</f>
        <v/>
      </c>
      <c r="M331">
        <f>IF(OR(L331="",L331=0),"",ROUND(100/L331,0))</f>
        <v/>
      </c>
      <c r="N331" t="inlineStr"/>
    </row>
    <row r="332">
      <c r="A332" t="n">
        <v>208</v>
      </c>
      <c r="B332" t="inlineStr">
        <is>
          <t>Dark Energy Floodlands (Great Red Sea)</t>
        </is>
      </c>
      <c r="C332" t="inlineStr">
        <is>
          <t>Deboreka Earring</t>
        </is>
      </c>
      <c r="D332" t="n">
        <v>0.12931347</v>
      </c>
      <c r="E332" t="n">
        <v>7298.6</v>
      </c>
      <c r="F332" s="3" t="n">
        <v>0.01771757186309703</v>
      </c>
      <c r="G332" t="n">
        <v>56441</v>
      </c>
      <c r="H332" s="3" t="n">
        <v>0.01495336559741382</v>
      </c>
      <c r="I332" s="3" t="n">
        <v>0.02084452593048734</v>
      </c>
      <c r="J332" t="n">
        <v>145.3</v>
      </c>
      <c r="K332">
        <f>IF(IFERROR(INDEX(Spots!$K$2:$K$96,MATCH(A332,Spots!$A$2:$A$96,0)),"")="","",IFERROR(INDEX(Spots!$K$2:$K$96,MATCH(A332,Spots!$A$2:$A$96,0)),""))</f>
        <v/>
      </c>
      <c r="L332" s="3">
        <f>IF(OR(K332="",F332=""),"",F332/1000*K332*100)</f>
        <v/>
      </c>
      <c r="M332">
        <f>IF(OR(L332="",L332=0),"",ROUND(100/L332,0))</f>
        <v/>
      </c>
      <c r="N332" t="inlineStr"/>
    </row>
    <row r="333">
      <c r="A333" t="n">
        <v>208</v>
      </c>
      <c r="B333" t="inlineStr">
        <is>
          <t>Dark Energy Floodlands (Great Red Sea)</t>
        </is>
      </c>
      <c r="C333" t="inlineStr">
        <is>
          <t>Deboreka Ring</t>
        </is>
      </c>
      <c r="D333" t="n">
        <v>0.11942214</v>
      </c>
      <c r="E333" t="n">
        <v>7298.6</v>
      </c>
      <c r="F333" s="3" t="n">
        <v>0.01636233524237525</v>
      </c>
      <c r="G333" t="n">
        <v>61116</v>
      </c>
      <c r="H333" s="3" t="n">
        <v>0.01371057183511518</v>
      </c>
      <c r="I333" s="3" t="n">
        <v>0.01937723297422444</v>
      </c>
      <c r="J333" t="n">
        <v>134.2</v>
      </c>
      <c r="K333">
        <f>IF(IFERROR(INDEX(Spots!$K$2:$K$96,MATCH(A333,Spots!$A$2:$A$96,0)),"")="","",IFERROR(INDEX(Spots!$K$2:$K$96,MATCH(A333,Spots!$A$2:$A$96,0)),""))</f>
        <v/>
      </c>
      <c r="L333" s="3">
        <f>IF(OR(K333="",F333=""),"",F333/1000*K333*100)</f>
        <v/>
      </c>
      <c r="M333">
        <f>IF(OR(L333="",L333=0),"",ROUND(100/L333,0))</f>
        <v/>
      </c>
      <c r="N333" t="inlineStr"/>
    </row>
    <row r="334">
      <c r="A334" t="n">
        <v>208</v>
      </c>
      <c r="B334" t="inlineStr">
        <is>
          <t>Dark Energy Floodlands (Great Red Sea)</t>
        </is>
      </c>
      <c r="C334" t="inlineStr">
        <is>
          <t>Silent Fragment of Origin</t>
        </is>
      </c>
      <c r="D334" t="n">
        <v>0.06163318</v>
      </c>
      <c r="E334" t="n">
        <v>7298.6</v>
      </c>
      <c r="F334" s="3" t="n">
        <v>0.008444520867015593</v>
      </c>
      <c r="G334" t="n">
        <v>118420</v>
      </c>
      <c r="H334" s="3" t="n">
        <v>0.006573023821418784</v>
      </c>
      <c r="I334" s="3" t="n">
        <v>0.01068299769472883</v>
      </c>
      <c r="J334" t="n">
        <v>69.2</v>
      </c>
      <c r="K334">
        <f>IF(IFERROR(INDEX(Spots!$K$2:$K$96,MATCH(A334,Spots!$A$2:$A$96,0)),"")="","",IFERROR(INDEX(Spots!$K$2:$K$96,MATCH(A334,Spots!$A$2:$A$96,0)),""))</f>
        <v/>
      </c>
      <c r="L334" s="3">
        <f>IF(OR(K334="",F334=""),"",F334/1000*K334*100)</f>
        <v/>
      </c>
      <c r="M334">
        <f>IF(OR(L334="",L334=0),"",ROUND(100/L334,0))</f>
        <v/>
      </c>
      <c r="N334" t="inlineStr"/>
    </row>
    <row r="335">
      <c r="A335" t="n">
        <v>208</v>
      </c>
      <c r="B335" t="inlineStr">
        <is>
          <t>Dark Energy Floodlands (Great Red Sea)</t>
        </is>
      </c>
      <c r="C335" t="inlineStr">
        <is>
          <t>Deboreka Necklace</t>
        </is>
      </c>
      <c r="D335" t="n">
        <v>0.04015642</v>
      </c>
      <c r="E335" t="n">
        <v>7298.6</v>
      </c>
      <c r="F335" s="3" t="n">
        <v>0.005501934617597895</v>
      </c>
      <c r="G335" t="n">
        <v>181754</v>
      </c>
      <c r="H335" s="3" t="n">
        <v>0.004014426994276758</v>
      </c>
      <c r="I335" s="3" t="n">
        <v>0.007359626974331339</v>
      </c>
      <c r="J335" t="n">
        <v>45.1</v>
      </c>
      <c r="K335">
        <f>IF(IFERROR(INDEX(Spots!$K$2:$K$96,MATCH(A335,Spots!$A$2:$A$96,0)),"")="","",IFERROR(INDEX(Spots!$K$2:$K$96,MATCH(A335,Spots!$A$2:$A$96,0)),""))</f>
        <v/>
      </c>
      <c r="L335" s="3">
        <f>IF(OR(K335="",F335=""),"",F335/1000*K335*100)</f>
        <v/>
      </c>
      <c r="M335">
        <f>IF(OR(L335="",L335=0),"",ROUND(100/L335,0))</f>
        <v/>
      </c>
      <c r="N335" t="inlineStr"/>
    </row>
    <row r="336">
      <c r="A336" t="n">
        <v>208</v>
      </c>
      <c r="B336" t="inlineStr">
        <is>
          <t>Dark Energy Floodlands (Great Red Sea)</t>
        </is>
      </c>
      <c r="C336" t="inlineStr">
        <is>
          <t>Deboreka Belt</t>
        </is>
      </c>
      <c r="D336" t="n">
        <v>0.03244722</v>
      </c>
      <c r="E336" t="n">
        <v>7298.6</v>
      </c>
      <c r="F336" s="3" t="n">
        <v>0.004445677253171841</v>
      </c>
      <c r="G336" t="n">
        <v>224938</v>
      </c>
      <c r="H336" s="3" t="n">
        <v>0.003120743363496242</v>
      </c>
      <c r="I336" s="3" t="n">
        <v>0.006142640263700557</v>
      </c>
      <c r="J336" t="n">
        <v>36.5</v>
      </c>
      <c r="K336">
        <f>IF(IFERROR(INDEX(Spots!$K$2:$K$96,MATCH(A336,Spots!$A$2:$A$96,0)),"")="","",IFERROR(INDEX(Spots!$K$2:$K$96,MATCH(A336,Spots!$A$2:$A$96,0)),""))</f>
        <v/>
      </c>
      <c r="L336" s="3">
        <f>IF(OR(K336="",F336=""),"",F336/1000*K336*100)</f>
        <v/>
      </c>
      <c r="M336">
        <f>IF(OR(L336="",L336=0),"",ROUND(100/L336,0))</f>
        <v/>
      </c>
      <c r="N336" t="inlineStr"/>
    </row>
    <row r="337">
      <c r="A337" t="n">
        <v>208</v>
      </c>
      <c r="B337" t="inlineStr">
        <is>
          <t>Dark Energy Floodlands (Great Red Sea)</t>
        </is>
      </c>
      <c r="C337" t="inlineStr">
        <is>
          <t>HAN Crystal of Dusky Ruin</t>
        </is>
      </c>
      <c r="D337" t="n">
        <v>0.02685751</v>
      </c>
      <c r="E337" t="n">
        <v>7298.6</v>
      </c>
      <c r="F337" s="3" t="n">
        <v>0.003679816677170965</v>
      </c>
      <c r="G337" t="n">
        <v>271753</v>
      </c>
      <c r="H337" s="3" t="n">
        <v>0.002485306355802363</v>
      </c>
      <c r="I337" s="3" t="n">
        <v>0.005248146529580968</v>
      </c>
      <c r="J337" t="n">
        <v>30.2</v>
      </c>
      <c r="K337">
        <f>IF(IFERROR(INDEX(Spots!$K$2:$K$96,MATCH(A337,Spots!$A$2:$A$96,0)),"")="","",IFERROR(INDEX(Spots!$K$2:$K$96,MATCH(A337,Spots!$A$2:$A$96,0)),""))</f>
        <v/>
      </c>
      <c r="L337" s="3">
        <f>IF(OR(K337="",F337=""),"",F337/1000*K337*100)</f>
        <v/>
      </c>
      <c r="M337">
        <f>IF(OR(L337="",L337=0),"",ROUND(100/L337,0))</f>
        <v/>
      </c>
      <c r="N337" t="inlineStr"/>
    </row>
    <row r="338">
      <c r="A338" t="n">
        <v>208</v>
      </c>
      <c r="B338" t="inlineStr">
        <is>
          <t>Dark Energy Floodlands (Great Red Sea)</t>
        </is>
      </c>
      <c r="C338" t="inlineStr">
        <is>
          <t>Flawless Herald's Crystal</t>
        </is>
      </c>
      <c r="D338" t="n">
        <v>0.008260999999999999</v>
      </c>
      <c r="E338" t="n">
        <v>7298.6</v>
      </c>
      <c r="F338" s="3" t="n">
        <v>0.001131860904831063</v>
      </c>
      <c r="G338" t="n">
        <v>883501</v>
      </c>
      <c r="H338" s="3" t="n">
        <v>0.0005239349072141967</v>
      </c>
      <c r="I338" s="3" t="n">
        <v>0.00212870075531581</v>
      </c>
      <c r="J338" t="n">
        <v>9.300000000000001</v>
      </c>
      <c r="K338">
        <f>IF(IFERROR(INDEX(Spots!$K$2:$K$96,MATCH(A338,Spots!$A$2:$A$96,0)),"")="","",IFERROR(INDEX(Spots!$K$2:$K$96,MATCH(A338,Spots!$A$2:$A$96,0)),""))</f>
        <v/>
      </c>
      <c r="L338" s="3">
        <f>IF(OR(K338="",F338=""),"",F338/1000*K338*100)</f>
        <v/>
      </c>
      <c r="M338">
        <f>IF(OR(L338="",L338=0),"",ROUND(100/L338,0))</f>
        <v/>
      </c>
      <c r="N338" t="inlineStr">
        <is>
          <t>low sample</t>
        </is>
      </c>
    </row>
    <row r="339">
      <c r="A339" t="n">
        <v>208</v>
      </c>
      <c r="B339" t="inlineStr">
        <is>
          <t>Dark Energy Floodlands (Great Red Sea)</t>
        </is>
      </c>
      <c r="C339" t="inlineStr">
        <is>
          <t>Silent Crystal of Origin</t>
        </is>
      </c>
      <c r="D339" t="n">
        <v>0.0019094</v>
      </c>
      <c r="E339" t="n">
        <v>7298.6</v>
      </c>
      <c r="F339" s="3" t="n">
        <v>0.0002616118159647055</v>
      </c>
      <c r="G339" t="n">
        <v>3822457</v>
      </c>
      <c r="H339" s="3" t="n">
        <v>3.311637752640833e-05</v>
      </c>
      <c r="I339" s="3" t="n">
        <v>0.0009086967722496688</v>
      </c>
      <c r="J339" t="n">
        <v>2.1</v>
      </c>
      <c r="K339">
        <f>IF(IFERROR(INDEX(Spots!$K$2:$K$96,MATCH(A339,Spots!$A$2:$A$96,0)),"")="","",IFERROR(INDEX(Spots!$K$2:$K$96,MATCH(A339,Spots!$A$2:$A$96,0)),""))</f>
        <v/>
      </c>
      <c r="L339" s="3">
        <f>IF(OR(K339="",F339=""),"",F339/1000*K339*100)</f>
        <v/>
      </c>
      <c r="M339">
        <f>IF(OR(L339="",L339=0),"",ROUND(100/L339,0))</f>
        <v/>
      </c>
      <c r="N339" t="inlineStr">
        <is>
          <t>low sample</t>
        </is>
      </c>
    </row>
    <row r="340">
      <c r="A340" t="n">
        <v>208</v>
      </c>
      <c r="B340" t="inlineStr">
        <is>
          <t>Dark Energy Floodlands (Great Red Sea)</t>
        </is>
      </c>
      <c r="C340" t="inlineStr">
        <is>
          <t>Distorted Crystal of Origin</t>
        </is>
      </c>
      <c r="D340" t="n">
        <v>0.0011212</v>
      </c>
      <c r="E340" t="n">
        <v>7298.6</v>
      </c>
      <c r="F340" s="3" t="n">
        <v>0.0001536185021785</v>
      </c>
      <c r="G340" t="n">
        <v>6509633</v>
      </c>
      <c r="H340" s="3" t="n">
        <v>5.502344805744472e-06</v>
      </c>
      <c r="I340" s="3" t="n">
        <v>0.0007328905874889088</v>
      </c>
      <c r="J340" t="n">
        <v>1.3</v>
      </c>
      <c r="K340">
        <f>IF(IFERROR(INDEX(Spots!$K$2:$K$96,MATCH(A340,Spots!$A$2:$A$96,0)),"")="","",IFERROR(INDEX(Spots!$K$2:$K$96,MATCH(A340,Spots!$A$2:$A$96,0)),""))</f>
        <v/>
      </c>
      <c r="L340" s="3">
        <f>IF(OR(K340="",F340=""),"",F340/1000*K340*100)</f>
        <v/>
      </c>
      <c r="M340">
        <f>IF(OR(L340="",L340=0),"",ROUND(100/L340,0))</f>
        <v/>
      </c>
      <c r="N340" t="inlineStr">
        <is>
          <t>low sample</t>
        </is>
      </c>
    </row>
    <row r="341">
      <c r="A341" t="n">
        <v>209</v>
      </c>
      <c r="B341" t="inlineStr">
        <is>
          <t>Dark Energy Floodlands (Orbita)</t>
        </is>
      </c>
      <c r="C341" t="inlineStr">
        <is>
          <t>Faded Dark Energy</t>
        </is>
      </c>
      <c r="D341" t="n">
        <v>177.49</v>
      </c>
      <c r="E341" t="n">
        <v>7405.3</v>
      </c>
      <c r="F341" s="3" t="n">
        <v>23.96796888714839</v>
      </c>
      <c r="G341" t="n">
        <v>42</v>
      </c>
      <c r="H341" s="3" t="n">
        <v>23.88084212369894</v>
      </c>
      <c r="I341" s="3" t="n">
        <v>24.05533485595685</v>
      </c>
      <c r="J341" t="n">
        <v>290196.2</v>
      </c>
      <c r="K341">
        <f>IF(IFERROR(INDEX(Spots!$K$2:$K$96,MATCH(A341,Spots!$A$2:$A$96,0)),"")="","",IFERROR(INDEX(Spots!$K$2:$K$96,MATCH(A341,Spots!$A$2:$A$96,0)),""))</f>
        <v/>
      </c>
      <c r="L341" s="3">
        <f>IF(OR(K341="",F341=""),"",F341/1000*K341*100)</f>
        <v/>
      </c>
      <c r="M341">
        <f>IF(OR(L341="",L341=0),"",ROUND(100/L341,0))</f>
        <v/>
      </c>
      <c r="N341" t="inlineStr"/>
    </row>
    <row r="342">
      <c r="A342" t="n">
        <v>209</v>
      </c>
      <c r="B342" t="inlineStr">
        <is>
          <t>Dark Energy Floodlands (Orbita)</t>
        </is>
      </c>
      <c r="C342" t="inlineStr">
        <is>
          <t>Ancient Spirit Dust</t>
        </is>
      </c>
      <c r="D342" t="n">
        <v>21.78</v>
      </c>
      <c r="E342" t="n">
        <v>7405.3</v>
      </c>
      <c r="F342" s="3" t="n">
        <v>2.941136753406344</v>
      </c>
      <c r="G342" t="n">
        <v>340</v>
      </c>
      <c r="H342" s="3" t="n">
        <v>2.91066700453056</v>
      </c>
      <c r="I342" s="3" t="n">
        <v>2.971845985880578</v>
      </c>
      <c r="J342" t="n">
        <v>35610.3</v>
      </c>
      <c r="K342">
        <f>IF(IFERROR(INDEX(Spots!$K$2:$K$96,MATCH(A342,Spots!$A$2:$A$96,0)),"")="","",IFERROR(INDEX(Spots!$K$2:$K$96,MATCH(A342,Spots!$A$2:$A$96,0)),""))</f>
        <v/>
      </c>
      <c r="L342" s="3">
        <f>IF(OR(K342="",F342=""),"",F342/1000*K342*100)</f>
        <v/>
      </c>
      <c r="M342">
        <f>IF(OR(L342="",L342=0),"",ROUND(100/L342,0))</f>
        <v/>
      </c>
      <c r="N342" t="inlineStr"/>
    </row>
    <row r="343">
      <c r="A343" t="n">
        <v>209</v>
      </c>
      <c r="B343" t="inlineStr">
        <is>
          <t>Dark Energy Floodlands (Orbita)</t>
        </is>
      </c>
      <c r="C343" t="inlineStr">
        <is>
          <t>Black Stone</t>
        </is>
      </c>
      <c r="D343" t="n">
        <v>15.987</v>
      </c>
      <c r="E343" t="n">
        <v>7405.3</v>
      </c>
      <c r="F343" s="3" t="n">
        <v>2.158859195441103</v>
      </c>
      <c r="G343" t="n">
        <v>463</v>
      </c>
      <c r="H343" s="3" t="n">
        <v>2.132765439595172</v>
      </c>
      <c r="I343" s="3" t="n">
        <v>2.185192506423258</v>
      </c>
      <c r="J343" t="n">
        <v>26138.7</v>
      </c>
      <c r="K343">
        <f>IF(IFERROR(INDEX(Spots!$K$2:$K$96,MATCH(A343,Spots!$A$2:$A$96,0)),"")="","",IFERROR(INDEX(Spots!$K$2:$K$96,MATCH(A343,Spots!$A$2:$A$96,0)),""))</f>
        <v/>
      </c>
      <c r="L343" s="3">
        <f>IF(OR(K343="",F343=""),"",F343/1000*K343*100)</f>
        <v/>
      </c>
      <c r="M343">
        <f>IF(OR(L343="",L343=0),"",ROUND(100/L343,0))</f>
        <v/>
      </c>
      <c r="N343" t="inlineStr"/>
    </row>
    <row r="344">
      <c r="A344" t="n">
        <v>209</v>
      </c>
      <c r="B344" t="inlineStr">
        <is>
          <t>Dark Energy Floodlands (Orbita)</t>
        </is>
      </c>
      <c r="C344" t="inlineStr">
        <is>
          <t>Caphras Stone</t>
        </is>
      </c>
      <c r="D344" t="n">
        <v>9.241353999999999</v>
      </c>
      <c r="E344" t="n">
        <v>7405.3</v>
      </c>
      <c r="F344" s="3" t="n">
        <v>1.247937828312155</v>
      </c>
      <c r="G344" t="n">
        <v>801</v>
      </c>
      <c r="H344" s="3" t="n">
        <v>1.228117572825052</v>
      </c>
      <c r="I344" s="3" t="n">
        <v>1.267997796282994</v>
      </c>
      <c r="J344" t="n">
        <v>15109.6</v>
      </c>
      <c r="K344">
        <f>IF(IFERROR(INDEX(Spots!$K$2:$K$96,MATCH(A344,Spots!$A$2:$A$96,0)),"")="","",IFERROR(INDEX(Spots!$K$2:$K$96,MATCH(A344,Spots!$A$2:$A$96,0)),""))</f>
        <v/>
      </c>
      <c r="L344" s="3">
        <f>IF(OR(K344="",F344=""),"",F344/1000*K344*100)</f>
        <v/>
      </c>
      <c r="M344">
        <f>IF(OR(L344="",L344=0),"",ROUND(100/L344,0))</f>
        <v/>
      </c>
      <c r="N344" t="inlineStr"/>
    </row>
    <row r="345">
      <c r="A345" t="n">
        <v>209</v>
      </c>
      <c r="B345" t="inlineStr">
        <is>
          <t>Dark Energy Floodlands (Orbita)</t>
        </is>
      </c>
      <c r="C345" t="inlineStr">
        <is>
          <t>HAN Crystal of Ruin</t>
        </is>
      </c>
      <c r="D345" t="n">
        <v>1.485846</v>
      </c>
      <c r="E345" t="n">
        <v>7405.3</v>
      </c>
      <c r="F345" s="3" t="n">
        <v>0.2006462938706062</v>
      </c>
      <c r="G345" t="n">
        <v>4984</v>
      </c>
      <c r="H345" s="3" t="n">
        <v>0.1927459134103086</v>
      </c>
      <c r="I345" s="3" t="n">
        <v>0.2087873644051258</v>
      </c>
      <c r="J345" t="n">
        <v>2429.4</v>
      </c>
      <c r="K345">
        <f>IF(IFERROR(INDEX(Spots!$K$2:$K$96,MATCH(A345,Spots!$A$2:$A$96,0)),"")="","",IFERROR(INDEX(Spots!$K$2:$K$96,MATCH(A345,Spots!$A$2:$A$96,0)),""))</f>
        <v/>
      </c>
      <c r="L345" s="3">
        <f>IF(OR(K345="",F345=""),"",F345/1000*K345*100)</f>
        <v/>
      </c>
      <c r="M345">
        <f>IF(OR(L345="",L345=0),"",ROUND(100/L345,0))</f>
        <v/>
      </c>
      <c r="N345" t="inlineStr"/>
    </row>
    <row r="346">
      <c r="A346" t="n">
        <v>209</v>
      </c>
      <c r="B346" t="inlineStr">
        <is>
          <t>Dark Energy Floodlands (Orbita)</t>
        </is>
      </c>
      <c r="C346" t="inlineStr">
        <is>
          <t>Herald's Crystal</t>
        </is>
      </c>
      <c r="D346" t="n">
        <v>1.196194</v>
      </c>
      <c r="E346" t="n">
        <v>7405.3</v>
      </c>
      <c r="F346" s="3" t="n">
        <v>0.1615321458955073</v>
      </c>
      <c r="G346" t="n">
        <v>6191</v>
      </c>
      <c r="H346" s="3" t="n">
        <v>0.1544516163042037</v>
      </c>
      <c r="I346" s="3" t="n">
        <v>0.1688535518394029</v>
      </c>
      <c r="J346" t="n">
        <v>1955.8</v>
      </c>
      <c r="K346">
        <f>IF(IFERROR(INDEX(Spots!$K$2:$K$96,MATCH(A346,Spots!$A$2:$A$96,0)),"")="","",IFERROR(INDEX(Spots!$K$2:$K$96,MATCH(A346,Spots!$A$2:$A$96,0)),""))</f>
        <v/>
      </c>
      <c r="L346" s="3">
        <f>IF(OR(K346="",F346=""),"",F346/1000*K346*100)</f>
        <v/>
      </c>
      <c r="M346">
        <f>IF(OR(L346="",L346=0),"",ROUND(100/L346,0))</f>
        <v/>
      </c>
      <c r="N346" t="inlineStr"/>
    </row>
    <row r="347">
      <c r="A347" t="n">
        <v>209</v>
      </c>
      <c r="B347" t="inlineStr">
        <is>
          <t>Dark Energy Floodlands (Orbita)</t>
        </is>
      </c>
      <c r="C347" t="inlineStr">
        <is>
          <t>Crystallized Energy of Endtimes</t>
        </is>
      </c>
      <c r="D347" t="n">
        <v>0.93458684</v>
      </c>
      <c r="E347" t="n">
        <v>7405.3</v>
      </c>
      <c r="F347" s="3" t="n">
        <v>0.126205128759132</v>
      </c>
      <c r="G347" t="n">
        <v>7924</v>
      </c>
      <c r="H347" s="3" t="n">
        <v>0.119955716177372</v>
      </c>
      <c r="I347" s="3" t="n">
        <v>0.1326956555077044</v>
      </c>
      <c r="J347" t="n">
        <v>1528</v>
      </c>
      <c r="K347">
        <f>IF(IFERROR(INDEX(Spots!$K$2:$K$96,MATCH(A347,Spots!$A$2:$A$96,0)),"")="","",IFERROR(INDEX(Spots!$K$2:$K$96,MATCH(A347,Spots!$A$2:$A$96,0)),""))</f>
        <v/>
      </c>
      <c r="L347" s="3">
        <f>IF(OR(K347="",F347=""),"",F347/1000*K347*100)</f>
        <v/>
      </c>
      <c r="M347">
        <f>IF(OR(L347="",L347=0),"",ROUND(100/L347,0))</f>
        <v/>
      </c>
      <c r="N347" t="inlineStr"/>
    </row>
    <row r="348">
      <c r="A348" t="n">
        <v>209</v>
      </c>
      <c r="B348" t="inlineStr">
        <is>
          <t>Dark Energy Floodlands (Orbita)</t>
        </is>
      </c>
      <c r="C348" t="inlineStr">
        <is>
          <t>Distorted Fragment of Origin</t>
        </is>
      </c>
      <c r="D348" t="n">
        <v>0.50895189</v>
      </c>
      <c r="E348" t="n">
        <v>7405.3</v>
      </c>
      <c r="F348" s="3" t="n">
        <v>0.0687280582825814</v>
      </c>
      <c r="G348" t="n">
        <v>14550</v>
      </c>
      <c r="H348" s="3" t="n">
        <v>0.06413698563412427</v>
      </c>
      <c r="I348" s="3" t="n">
        <v>0.07356097052100767</v>
      </c>
      <c r="J348" t="n">
        <v>832.1</v>
      </c>
      <c r="K348">
        <f>IF(IFERROR(INDEX(Spots!$K$2:$K$96,MATCH(A348,Spots!$A$2:$A$96,0)),"")="","",IFERROR(INDEX(Spots!$K$2:$K$96,MATCH(A348,Spots!$A$2:$A$96,0)),""))</f>
        <v/>
      </c>
      <c r="L348" s="3">
        <f>IF(OR(K348="",F348=""),"",F348/1000*K348*100)</f>
        <v/>
      </c>
      <c r="M348">
        <f>IF(OR(L348="",L348=0),"",ROUND(100/L348,0))</f>
        <v/>
      </c>
      <c r="N348" t="inlineStr"/>
    </row>
    <row r="349">
      <c r="A349" t="n">
        <v>209</v>
      </c>
      <c r="B349" t="inlineStr">
        <is>
          <t>Dark Energy Floodlands (Orbita)</t>
        </is>
      </c>
      <c r="C349" t="inlineStr">
        <is>
          <t>Deboreka Earring</t>
        </is>
      </c>
      <c r="D349" t="n">
        <v>0.12552907</v>
      </c>
      <c r="E349" t="n">
        <v>7405.3</v>
      </c>
      <c r="F349" s="3" t="n">
        <v>0.0169512470797942</v>
      </c>
      <c r="G349" t="n">
        <v>58993</v>
      </c>
      <c r="H349" s="3" t="n">
        <v>0.01471120024753036</v>
      </c>
      <c r="I349" s="3" t="n">
        <v>0.01943590971728076</v>
      </c>
      <c r="J349" t="n">
        <v>205.2</v>
      </c>
      <c r="K349">
        <f>IF(IFERROR(INDEX(Spots!$K$2:$K$96,MATCH(A349,Spots!$A$2:$A$96,0)),"")="","",IFERROR(INDEX(Spots!$K$2:$K$96,MATCH(A349,Spots!$A$2:$A$96,0)),""))</f>
        <v/>
      </c>
      <c r="L349" s="3">
        <f>IF(OR(K349="",F349=""),"",F349/1000*K349*100)</f>
        <v/>
      </c>
      <c r="M349">
        <f>IF(OR(L349="",L349=0),"",ROUND(100/L349,0))</f>
        <v/>
      </c>
      <c r="N349" t="inlineStr"/>
    </row>
    <row r="350">
      <c r="A350" t="n">
        <v>209</v>
      </c>
      <c r="B350" t="inlineStr">
        <is>
          <t>Dark Energy Floodlands (Orbita)</t>
        </is>
      </c>
      <c r="C350" t="inlineStr">
        <is>
          <t>Deboreka Ring</t>
        </is>
      </c>
      <c r="D350" t="n">
        <v>0.12111779</v>
      </c>
      <c r="E350" t="n">
        <v>7405.3</v>
      </c>
      <c r="F350" s="3" t="n">
        <v>0.01635555480534212</v>
      </c>
      <c r="G350" t="n">
        <v>61141</v>
      </c>
      <c r="H350" s="3" t="n">
        <v>0.01415663612777731</v>
      </c>
      <c r="I350" s="3" t="n">
        <v>0.01879918792720303</v>
      </c>
      <c r="J350" t="n">
        <v>198</v>
      </c>
      <c r="K350">
        <f>IF(IFERROR(INDEX(Spots!$K$2:$K$96,MATCH(A350,Spots!$A$2:$A$96,0)),"")="","",IFERROR(INDEX(Spots!$K$2:$K$96,MATCH(A350,Spots!$A$2:$A$96,0)),""))</f>
        <v/>
      </c>
      <c r="L350" s="3">
        <f>IF(OR(K350="",F350=""),"",F350/1000*K350*100)</f>
        <v/>
      </c>
      <c r="M350">
        <f>IF(OR(L350="",L350=0),"",ROUND(100/L350,0))</f>
        <v/>
      </c>
      <c r="N350" t="inlineStr"/>
    </row>
    <row r="351">
      <c r="A351" t="n">
        <v>209</v>
      </c>
      <c r="B351" t="inlineStr">
        <is>
          <t>Dark Energy Floodlands (Orbita)</t>
        </is>
      </c>
      <c r="C351" t="inlineStr">
        <is>
          <t>Silent Fragment of Origin</t>
        </is>
      </c>
      <c r="D351" t="n">
        <v>0.06634745</v>
      </c>
      <c r="E351" t="n">
        <v>7405.3</v>
      </c>
      <c r="F351" s="3" t="n">
        <v>0.00895945471486638</v>
      </c>
      <c r="G351" t="n">
        <v>111614</v>
      </c>
      <c r="H351" s="3" t="n">
        <v>0.007352811463669119</v>
      </c>
      <c r="I351" s="3" t="n">
        <v>0.010812752738835</v>
      </c>
      <c r="J351" t="n">
        <v>108.5</v>
      </c>
      <c r="K351">
        <f>IF(IFERROR(INDEX(Spots!$K$2:$K$96,MATCH(A351,Spots!$A$2:$A$96,0)),"")="","",IFERROR(INDEX(Spots!$K$2:$K$96,MATCH(A351,Spots!$A$2:$A$96,0)),""))</f>
        <v/>
      </c>
      <c r="L351" s="3">
        <f>IF(OR(K351="",F351=""),"",F351/1000*K351*100)</f>
        <v/>
      </c>
      <c r="M351">
        <f>IF(OR(L351="",L351=0),"",ROUND(100/L351,0))</f>
        <v/>
      </c>
      <c r="N351" t="inlineStr"/>
    </row>
    <row r="352">
      <c r="A352" t="n">
        <v>209</v>
      </c>
      <c r="B352" t="inlineStr">
        <is>
          <t>Dark Energy Floodlands (Orbita)</t>
        </is>
      </c>
      <c r="C352" t="inlineStr">
        <is>
          <t>Deboreka Belt</t>
        </is>
      </c>
      <c r="D352" t="n">
        <v>0.04486196</v>
      </c>
      <c r="E352" t="n">
        <v>7405.3</v>
      </c>
      <c r="F352" s="3" t="n">
        <v>0.006058088126071867</v>
      </c>
      <c r="G352" t="n">
        <v>165069</v>
      </c>
      <c r="H352" s="3" t="n">
        <v>0.004751292546759702</v>
      </c>
      <c r="I352" s="3" t="n">
        <v>0.007613132329874762</v>
      </c>
      <c r="J352" t="n">
        <v>73.3</v>
      </c>
      <c r="K352">
        <f>IF(IFERROR(INDEX(Spots!$K$2:$K$96,MATCH(A352,Spots!$A$2:$A$96,0)),"")="","",IFERROR(INDEX(Spots!$K$2:$K$96,MATCH(A352,Spots!$A$2:$A$96,0)),""))</f>
        <v/>
      </c>
      <c r="L352" s="3">
        <f>IF(OR(K352="",F352=""),"",F352/1000*K352*100)</f>
        <v/>
      </c>
      <c r="M352">
        <f>IF(OR(L352="",L352=0),"",ROUND(100/L352,0))</f>
        <v/>
      </c>
      <c r="N352" t="inlineStr"/>
    </row>
    <row r="353">
      <c r="A353" t="n">
        <v>209</v>
      </c>
      <c r="B353" t="inlineStr">
        <is>
          <t>Dark Energy Floodlands (Orbita)</t>
        </is>
      </c>
      <c r="C353" t="inlineStr">
        <is>
          <t>Deboreka Necklace</t>
        </is>
      </c>
      <c r="D353" t="n">
        <v>0.03519624</v>
      </c>
      <c r="E353" t="n">
        <v>7405.3</v>
      </c>
      <c r="F353" s="3" t="n">
        <v>0.004752844584284229</v>
      </c>
      <c r="G353" t="n">
        <v>210400</v>
      </c>
      <c r="H353" s="3" t="n">
        <v>0.003604614094101903</v>
      </c>
      <c r="I353" s="3" t="n">
        <v>0.006150469069519679</v>
      </c>
      <c r="J353" t="n">
        <v>57.5</v>
      </c>
      <c r="K353">
        <f>IF(IFERROR(INDEX(Spots!$K$2:$K$96,MATCH(A353,Spots!$A$2:$A$96,0)),"")="","",IFERROR(INDEX(Spots!$K$2:$K$96,MATCH(A353,Spots!$A$2:$A$96,0)),""))</f>
        <v/>
      </c>
      <c r="L353" s="3">
        <f>IF(OR(K353="",F353=""),"",F353/1000*K353*100)</f>
        <v/>
      </c>
      <c r="M353">
        <f>IF(OR(L353="",L353=0),"",ROUND(100/L353,0))</f>
        <v/>
      </c>
      <c r="N353" t="inlineStr"/>
    </row>
    <row r="354">
      <c r="A354" t="n">
        <v>209</v>
      </c>
      <c r="B354" t="inlineStr">
        <is>
          <t>Dark Energy Floodlands (Orbita)</t>
        </is>
      </c>
      <c r="C354" t="inlineStr">
        <is>
          <t>HAN Crystal of Dusky Ruin</t>
        </is>
      </c>
      <c r="D354" t="n">
        <v>0.02718772</v>
      </c>
      <c r="E354" t="n">
        <v>7405.3</v>
      </c>
      <c r="F354" s="3" t="n">
        <v>0.003671386709518858</v>
      </c>
      <c r="G354" t="n">
        <v>272377</v>
      </c>
      <c r="H354" s="3" t="n">
        <v>0.002672059862279337</v>
      </c>
      <c r="I354" s="3" t="n">
        <v>0.004921475600609653</v>
      </c>
      <c r="J354" t="n">
        <v>44.5</v>
      </c>
      <c r="K354">
        <f>IF(IFERROR(INDEX(Spots!$K$2:$K$96,MATCH(A354,Spots!$A$2:$A$96,0)),"")="","",IFERROR(INDEX(Spots!$K$2:$K$96,MATCH(A354,Spots!$A$2:$A$96,0)),""))</f>
        <v/>
      </c>
      <c r="L354" s="3">
        <f>IF(OR(K354="",F354=""),"",F354/1000*K354*100)</f>
        <v/>
      </c>
      <c r="M354">
        <f>IF(OR(L354="",L354=0),"",ROUND(100/L354,0))</f>
        <v/>
      </c>
      <c r="N354" t="inlineStr"/>
    </row>
    <row r="355">
      <c r="A355" t="n">
        <v>209</v>
      </c>
      <c r="B355" t="inlineStr">
        <is>
          <t>Dark Energy Floodlands (Orbita)</t>
        </is>
      </c>
      <c r="C355" t="inlineStr">
        <is>
          <t>Flawless Herald's Crystal</t>
        </is>
      </c>
      <c r="D355" t="n">
        <v>0.00657157</v>
      </c>
      <c r="E355" t="n">
        <v>7405.3</v>
      </c>
      <c r="F355" s="3" t="n">
        <v>0.0008874144194023198</v>
      </c>
      <c r="G355" t="n">
        <v>1126869</v>
      </c>
      <c r="H355" s="3" t="n">
        <v>0.0004381003488446841</v>
      </c>
      <c r="I355" s="3" t="n">
        <v>0.001598541085327383</v>
      </c>
      <c r="J355" t="n">
        <v>10.7</v>
      </c>
      <c r="K355">
        <f>IF(IFERROR(INDEX(Spots!$K$2:$K$96,MATCH(A355,Spots!$A$2:$A$96,0)),"")="","",IFERROR(INDEX(Spots!$K$2:$K$96,MATCH(A355,Spots!$A$2:$A$96,0)),""))</f>
        <v/>
      </c>
      <c r="L355" s="3">
        <f>IF(OR(K355="",F355=""),"",F355/1000*K355*100)</f>
        <v/>
      </c>
      <c r="M355">
        <f>IF(OR(L355="",L355=0),"",ROUND(100/L355,0))</f>
        <v/>
      </c>
      <c r="N355" t="inlineStr">
        <is>
          <t>low sample</t>
        </is>
      </c>
    </row>
    <row r="356">
      <c r="A356" t="n">
        <v>209</v>
      </c>
      <c r="B356" t="inlineStr">
        <is>
          <t>Dark Energy Floodlands (Orbita)</t>
        </is>
      </c>
      <c r="C356" t="inlineStr">
        <is>
          <t>Silent Crystal of Origin</t>
        </is>
      </c>
      <c r="D356" t="n">
        <v>0.00128943</v>
      </c>
      <c r="E356" t="n">
        <v>7405.3</v>
      </c>
      <c r="F356" s="3" t="n">
        <v>0.0001741225878762508</v>
      </c>
      <c r="G356" t="n">
        <v>5743080</v>
      </c>
      <c r="H356" s="3" t="n">
        <v>2.141888118197951e-05</v>
      </c>
      <c r="I356" s="3" t="n">
        <v>0.0006105608292045652</v>
      </c>
      <c r="J356" t="n">
        <v>2.1</v>
      </c>
      <c r="K356">
        <f>IF(IFERROR(INDEX(Spots!$K$2:$K$96,MATCH(A356,Spots!$A$2:$A$96,0)),"")="","",IFERROR(INDEX(Spots!$K$2:$K$96,MATCH(A356,Spots!$A$2:$A$96,0)),""))</f>
        <v/>
      </c>
      <c r="L356" s="3">
        <f>IF(OR(K356="",F356=""),"",F356/1000*K356*100)</f>
        <v/>
      </c>
      <c r="M356">
        <f>IF(OR(L356="",L356=0),"",ROUND(100/L356,0))</f>
        <v/>
      </c>
      <c r="N356" t="inlineStr">
        <is>
          <t>low sample</t>
        </is>
      </c>
    </row>
    <row r="357">
      <c r="A357" t="n">
        <v>209</v>
      </c>
      <c r="B357" t="inlineStr">
        <is>
          <t>Dark Energy Floodlands (Orbita)</t>
        </is>
      </c>
      <c r="C357" t="inlineStr">
        <is>
          <t>Distorted Crystal of Origin</t>
        </is>
      </c>
      <c r="D357" t="n">
        <v>0.00099081</v>
      </c>
      <c r="E357" t="n">
        <v>7405.3</v>
      </c>
      <c r="F357" s="3" t="n">
        <v>0.0001337974153646712</v>
      </c>
      <c r="G357" t="n">
        <v>7473986</v>
      </c>
      <c r="H357" s="3" t="n">
        <v>9.778902043772763e-06</v>
      </c>
      <c r="I357" s="3" t="n">
        <v>0.0005457891073531878</v>
      </c>
      <c r="J357" t="n">
        <v>1.6</v>
      </c>
      <c r="K357">
        <f>IF(IFERROR(INDEX(Spots!$K$2:$K$96,MATCH(A357,Spots!$A$2:$A$96,0)),"")="","",IFERROR(INDEX(Spots!$K$2:$K$96,MATCH(A357,Spots!$A$2:$A$96,0)),""))</f>
        <v/>
      </c>
      <c r="L357" s="3">
        <f>IF(OR(K357="",F357=""),"",F357/1000*K357*100)</f>
        <v/>
      </c>
      <c r="M357">
        <f>IF(OR(L357="",L357=0),"",ROUND(100/L357,0))</f>
        <v/>
      </c>
      <c r="N357" t="inlineStr">
        <is>
          <t>low sample</t>
        </is>
      </c>
    </row>
    <row r="358">
      <c r="A358" t="n">
        <v>210</v>
      </c>
      <c r="B358" t="inlineStr">
        <is>
          <t>Dark Energy Floodlands (Zephyros)</t>
        </is>
      </c>
      <c r="C358" t="inlineStr">
        <is>
          <t>Faded Dark Energy</t>
        </is>
      </c>
      <c r="D358" t="n">
        <v>185.19</v>
      </c>
      <c r="E358" t="n">
        <v>7736.1</v>
      </c>
      <c r="F358" s="3" t="n">
        <v>23.93841858300694</v>
      </c>
      <c r="G358" t="n">
        <v>42</v>
      </c>
      <c r="H358" s="3" t="n">
        <v>23.82017302446197</v>
      </c>
      <c r="I358" s="3" t="n">
        <v>24.05710566274272</v>
      </c>
      <c r="J358" t="n">
        <v>157062.7</v>
      </c>
      <c r="K358">
        <f>IF(IFERROR(INDEX(Spots!$K$2:$K$96,MATCH(A358,Spots!$A$2:$A$96,0)),"")="","",IFERROR(INDEX(Spots!$K$2:$K$96,MATCH(A358,Spots!$A$2:$A$96,0)),""))</f>
        <v/>
      </c>
      <c r="L358" s="3">
        <f>IF(OR(K358="",F358=""),"",F358/1000*K358*100)</f>
        <v/>
      </c>
      <c r="M358">
        <f>IF(OR(L358="",L358=0),"",ROUND(100/L358,0))</f>
        <v/>
      </c>
      <c r="N358" t="inlineStr"/>
    </row>
    <row r="359">
      <c r="A359" t="n">
        <v>210</v>
      </c>
      <c r="B359" t="inlineStr">
        <is>
          <t>Dark Energy Floodlands (Zephyros)</t>
        </is>
      </c>
      <c r="C359" t="inlineStr">
        <is>
          <t>Ancient Spirit Dust</t>
        </is>
      </c>
      <c r="D359" t="n">
        <v>22.972</v>
      </c>
      <c r="E359" t="n">
        <v>7736.1</v>
      </c>
      <c r="F359" s="3" t="n">
        <v>2.969454893292486</v>
      </c>
      <c r="G359" t="n">
        <v>337</v>
      </c>
      <c r="H359" s="3" t="n">
        <v>2.927902353247346</v>
      </c>
      <c r="I359" s="3" t="n">
        <v>3.011449646281775</v>
      </c>
      <c r="J359" t="n">
        <v>19482.9</v>
      </c>
      <c r="K359">
        <f>IF(IFERROR(INDEX(Spots!$K$2:$K$96,MATCH(A359,Spots!$A$2:$A$96,0)),"")="","",IFERROR(INDEX(Spots!$K$2:$K$96,MATCH(A359,Spots!$A$2:$A$96,0)),""))</f>
        <v/>
      </c>
      <c r="L359" s="3">
        <f>IF(OR(K359="",F359=""),"",F359/1000*K359*100)</f>
        <v/>
      </c>
      <c r="M359">
        <f>IF(OR(L359="",L359=0),"",ROUND(100/L359,0))</f>
        <v/>
      </c>
      <c r="N359" t="inlineStr"/>
    </row>
    <row r="360">
      <c r="A360" t="n">
        <v>210</v>
      </c>
      <c r="B360" t="inlineStr">
        <is>
          <t>Dark Energy Floodlands (Zephyros)</t>
        </is>
      </c>
      <c r="C360" t="inlineStr">
        <is>
          <t>Black Stone</t>
        </is>
      </c>
      <c r="D360" t="n">
        <v>14.826</v>
      </c>
      <c r="E360" t="n">
        <v>7736.1</v>
      </c>
      <c r="F360" s="3" t="n">
        <v>1.916469538914957</v>
      </c>
      <c r="G360" t="n">
        <v>522</v>
      </c>
      <c r="H360" s="3" t="n">
        <v>1.883116168969404</v>
      </c>
      <c r="I360" s="3" t="n">
        <v>1.950265382812549</v>
      </c>
      <c r="J360" t="n">
        <v>12574.2</v>
      </c>
      <c r="K360">
        <f>IF(IFERROR(INDEX(Spots!$K$2:$K$96,MATCH(A360,Spots!$A$2:$A$96,0)),"")="","",IFERROR(INDEX(Spots!$K$2:$K$96,MATCH(A360,Spots!$A$2:$A$96,0)),""))</f>
        <v/>
      </c>
      <c r="L360" s="3">
        <f>IF(OR(K360="",F360=""),"",F360/1000*K360*100)</f>
        <v/>
      </c>
      <c r="M360">
        <f>IF(OR(L360="",L360=0),"",ROUND(100/L360,0))</f>
        <v/>
      </c>
      <c r="N360" t="inlineStr"/>
    </row>
    <row r="361">
      <c r="A361" t="n">
        <v>210</v>
      </c>
      <c r="B361" t="inlineStr">
        <is>
          <t>Dark Energy Floodlands (Zephyros)</t>
        </is>
      </c>
      <c r="C361" t="inlineStr">
        <is>
          <t>Caphras Stone</t>
        </is>
      </c>
      <c r="D361" t="n">
        <v>7.763074</v>
      </c>
      <c r="E361" t="n">
        <v>7736.1</v>
      </c>
      <c r="F361" s="3" t="n">
        <v>1.003486769819418</v>
      </c>
      <c r="G361" t="n">
        <v>997</v>
      </c>
      <c r="H361" s="3" t="n">
        <v>0.9793919606859995</v>
      </c>
      <c r="I361" s="3" t="n">
        <v>1.028024559328771</v>
      </c>
      <c r="J361" t="n">
        <v>6584</v>
      </c>
      <c r="K361">
        <f>IF(IFERROR(INDEX(Spots!$K$2:$K$96,MATCH(A361,Spots!$A$2:$A$96,0)),"")="","",IFERROR(INDEX(Spots!$K$2:$K$96,MATCH(A361,Spots!$A$2:$A$96,0)),""))</f>
        <v/>
      </c>
      <c r="L361" s="3">
        <f>IF(OR(K361="",F361=""),"",F361/1000*K361*100)</f>
        <v/>
      </c>
      <c r="M361">
        <f>IF(OR(L361="",L361=0),"",ROUND(100/L361,0))</f>
        <v/>
      </c>
      <c r="N361" t="inlineStr"/>
    </row>
    <row r="362">
      <c r="A362" t="n">
        <v>210</v>
      </c>
      <c r="B362" t="inlineStr">
        <is>
          <t>Dark Energy Floodlands (Zephyros)</t>
        </is>
      </c>
      <c r="C362" t="inlineStr">
        <is>
          <t>HAN Crystal of Ruin</t>
        </is>
      </c>
      <c r="D362" t="n">
        <v>1.554428</v>
      </c>
      <c r="E362" t="n">
        <v>7736.1</v>
      </c>
      <c r="F362" s="3" t="n">
        <v>0.2009317356290637</v>
      </c>
      <c r="G362" t="n">
        <v>4977</v>
      </c>
      <c r="H362" s="3" t="n">
        <v>0.1902301997832589</v>
      </c>
      <c r="I362" s="3" t="n">
        <v>0.2120785048518871</v>
      </c>
      <c r="J362" t="n">
        <v>1318.3</v>
      </c>
      <c r="K362">
        <f>IF(IFERROR(INDEX(Spots!$K$2:$K$96,MATCH(A362,Spots!$A$2:$A$96,0)),"")="","",IFERROR(INDEX(Spots!$K$2:$K$96,MATCH(A362,Spots!$A$2:$A$96,0)),""))</f>
        <v/>
      </c>
      <c r="L362" s="3">
        <f>IF(OR(K362="",F362=""),"",F362/1000*K362*100)</f>
        <v/>
      </c>
      <c r="M362">
        <f>IF(OR(L362="",L362=0),"",ROUND(100/L362,0))</f>
        <v/>
      </c>
      <c r="N362" t="inlineStr"/>
    </row>
    <row r="363">
      <c r="A363" t="n">
        <v>210</v>
      </c>
      <c r="B363" t="inlineStr">
        <is>
          <t>Dark Energy Floodlands (Zephyros)</t>
        </is>
      </c>
      <c r="C363" t="inlineStr">
        <is>
          <t>Herald's Crystal</t>
        </is>
      </c>
      <c r="D363" t="n">
        <v>1.273408</v>
      </c>
      <c r="E363" t="n">
        <v>7736.1</v>
      </c>
      <c r="F363" s="3" t="n">
        <v>0.1646059383927302</v>
      </c>
      <c r="G363" t="n">
        <v>6075</v>
      </c>
      <c r="H363" s="3" t="n">
        <v>0.1549337627754761</v>
      </c>
      <c r="I363" s="3" t="n">
        <v>0.1747237731414228</v>
      </c>
      <c r="J363" t="n">
        <v>1080</v>
      </c>
      <c r="K363">
        <f>IF(IFERROR(INDEX(Spots!$K$2:$K$96,MATCH(A363,Spots!$A$2:$A$96,0)),"")="","",IFERROR(INDEX(Spots!$K$2:$K$96,MATCH(A363,Spots!$A$2:$A$96,0)),""))</f>
        <v/>
      </c>
      <c r="L363" s="3">
        <f>IF(OR(K363="",F363=""),"",F363/1000*K363*100)</f>
        <v/>
      </c>
      <c r="M363">
        <f>IF(OR(L363="",L363=0),"",ROUND(100/L363,0))</f>
        <v/>
      </c>
      <c r="N363" t="inlineStr"/>
    </row>
    <row r="364">
      <c r="A364" t="n">
        <v>210</v>
      </c>
      <c r="B364" t="inlineStr">
        <is>
          <t>Dark Energy Floodlands (Zephyros)</t>
        </is>
      </c>
      <c r="C364" t="inlineStr">
        <is>
          <t>Crystallized Energy of Endtimes</t>
        </is>
      </c>
      <c r="D364" t="n">
        <v>0.97641989</v>
      </c>
      <c r="E364" t="n">
        <v>7736.1</v>
      </c>
      <c r="F364" s="3" t="n">
        <v>0.1262160377968227</v>
      </c>
      <c r="G364" t="n">
        <v>7923</v>
      </c>
      <c r="H364" s="3" t="n">
        <v>0.1177646576310204</v>
      </c>
      <c r="I364" s="3" t="n">
        <v>0.1351137131051458</v>
      </c>
      <c r="J364" t="n">
        <v>828.1</v>
      </c>
      <c r="K364">
        <f>IF(IFERROR(INDEX(Spots!$K$2:$K$96,MATCH(A364,Spots!$A$2:$A$96,0)),"")="","",IFERROR(INDEX(Spots!$K$2:$K$96,MATCH(A364,Spots!$A$2:$A$96,0)),""))</f>
        <v/>
      </c>
      <c r="L364" s="3">
        <f>IF(OR(K364="",F364=""),"",F364/1000*K364*100)</f>
        <v/>
      </c>
      <c r="M364">
        <f>IF(OR(L364="",L364=0),"",ROUND(100/L364,0))</f>
        <v/>
      </c>
      <c r="N364" t="inlineStr"/>
    </row>
    <row r="365">
      <c r="A365" t="n">
        <v>210</v>
      </c>
      <c r="B365" t="inlineStr">
        <is>
          <t>Dark Energy Floodlands (Zephyros)</t>
        </is>
      </c>
      <c r="C365" t="inlineStr">
        <is>
          <t>Distorted Fragment of Origin</t>
        </is>
      </c>
      <c r="D365" t="n">
        <v>0.52150846</v>
      </c>
      <c r="E365" t="n">
        <v>7736.1</v>
      </c>
      <c r="F365" s="3" t="n">
        <v>0.06741232145396259</v>
      </c>
      <c r="G365" t="n">
        <v>14834</v>
      </c>
      <c r="H365" s="3" t="n">
        <v>0.06127522264079401</v>
      </c>
      <c r="I365" s="3" t="n">
        <v>0.07399759174357401</v>
      </c>
      <c r="J365" t="n">
        <v>442.3</v>
      </c>
      <c r="K365">
        <f>IF(IFERROR(INDEX(Spots!$K$2:$K$96,MATCH(A365,Spots!$A$2:$A$96,0)),"")="","",IFERROR(INDEX(Spots!$K$2:$K$96,MATCH(A365,Spots!$A$2:$A$96,0)),""))</f>
        <v/>
      </c>
      <c r="L365" s="3">
        <f>IF(OR(K365="",F365=""),"",F365/1000*K365*100)</f>
        <v/>
      </c>
      <c r="M365">
        <f>IF(OR(L365="",L365=0),"",ROUND(100/L365,0))</f>
        <v/>
      </c>
      <c r="N365" t="inlineStr"/>
    </row>
    <row r="366">
      <c r="A366" t="n">
        <v>210</v>
      </c>
      <c r="B366" t="inlineStr">
        <is>
          <t>Dark Energy Floodlands (Zephyros)</t>
        </is>
      </c>
      <c r="C366" t="inlineStr">
        <is>
          <t>Deboreka Ring</t>
        </is>
      </c>
      <c r="D366" t="n">
        <v>0.13301059</v>
      </c>
      <c r="E366" t="n">
        <v>7736.1</v>
      </c>
      <c r="F366" s="3" t="n">
        <v>0.01719349413787309</v>
      </c>
      <c r="G366" t="n">
        <v>58162</v>
      </c>
      <c r="H366" s="3" t="n">
        <v>0.01416711466440386</v>
      </c>
      <c r="I366" s="3" t="n">
        <v>0.02067477676458592</v>
      </c>
      <c r="J366" t="n">
        <v>112.8</v>
      </c>
      <c r="K366">
        <f>IF(IFERROR(INDEX(Spots!$K$2:$K$96,MATCH(A366,Spots!$A$2:$A$96,0)),"")="","",IFERROR(INDEX(Spots!$K$2:$K$96,MATCH(A366,Spots!$A$2:$A$96,0)),""))</f>
        <v/>
      </c>
      <c r="L366" s="3">
        <f>IF(OR(K366="",F366=""),"",F366/1000*K366*100)</f>
        <v/>
      </c>
      <c r="M366">
        <f>IF(OR(L366="",L366=0),"",ROUND(100/L366,0))</f>
        <v/>
      </c>
      <c r="N366" t="inlineStr"/>
    </row>
    <row r="367">
      <c r="A367" t="n">
        <v>210</v>
      </c>
      <c r="B367" t="inlineStr">
        <is>
          <t>Dark Energy Floodlands (Zephyros)</t>
        </is>
      </c>
      <c r="C367" t="inlineStr">
        <is>
          <t>Deboreka Earring</t>
        </is>
      </c>
      <c r="D367" t="n">
        <v>0.12845364</v>
      </c>
      <c r="E367" t="n">
        <v>7736.1</v>
      </c>
      <c r="F367" s="3" t="n">
        <v>0.01660444409974018</v>
      </c>
      <c r="G367" t="n">
        <v>60225</v>
      </c>
      <c r="H367" s="3" t="n">
        <v>0.01363292359271439</v>
      </c>
      <c r="I367" s="3" t="n">
        <v>0.02003110389489912</v>
      </c>
      <c r="J367" t="n">
        <v>108.9</v>
      </c>
      <c r="K367">
        <f>IF(IFERROR(INDEX(Spots!$K$2:$K$96,MATCH(A367,Spots!$A$2:$A$96,0)),"")="","",IFERROR(INDEX(Spots!$K$2:$K$96,MATCH(A367,Spots!$A$2:$A$96,0)),""))</f>
        <v/>
      </c>
      <c r="L367" s="3">
        <f>IF(OR(K367="",F367=""),"",F367/1000*K367*100)</f>
        <v/>
      </c>
      <c r="M367">
        <f>IF(OR(L367="",L367=0),"",ROUND(100/L367,0))</f>
        <v/>
      </c>
      <c r="N367" t="inlineStr"/>
    </row>
    <row r="368">
      <c r="A368" t="n">
        <v>210</v>
      </c>
      <c r="B368" t="inlineStr">
        <is>
          <t>Dark Energy Floodlands (Zephyros)</t>
        </is>
      </c>
      <c r="C368" t="inlineStr">
        <is>
          <t>Silent Fragment of Origin</t>
        </is>
      </c>
      <c r="D368" t="n">
        <v>0.06578052</v>
      </c>
      <c r="E368" t="n">
        <v>7736.1</v>
      </c>
      <c r="F368" s="3" t="n">
        <v>0.008503059681234729</v>
      </c>
      <c r="G368" t="n">
        <v>117605</v>
      </c>
      <c r="H368" s="3" t="n">
        <v>0.006419042157450847</v>
      </c>
      <c r="I368" s="3" t="n">
        <v>0.01104758815583472</v>
      </c>
      <c r="J368" t="n">
        <v>55.8</v>
      </c>
      <c r="K368">
        <f>IF(IFERROR(INDEX(Spots!$K$2:$K$96,MATCH(A368,Spots!$A$2:$A$96,0)),"")="","",IFERROR(INDEX(Spots!$K$2:$K$96,MATCH(A368,Spots!$A$2:$A$96,0)),""))</f>
        <v/>
      </c>
      <c r="L368" s="3">
        <f>IF(OR(K368="",F368=""),"",F368/1000*K368*100)</f>
        <v/>
      </c>
      <c r="M368">
        <f>IF(OR(L368="",L368=0),"",ROUND(100/L368,0))</f>
        <v/>
      </c>
      <c r="N368" t="inlineStr"/>
    </row>
    <row r="369">
      <c r="A369" t="n">
        <v>210</v>
      </c>
      <c r="B369" t="inlineStr">
        <is>
          <t>Dark Energy Floodlands (Zephyros)</t>
        </is>
      </c>
      <c r="C369" t="inlineStr">
        <is>
          <t>Deboreka Necklace</t>
        </is>
      </c>
      <c r="D369" t="n">
        <v>0.04118742</v>
      </c>
      <c r="E369" t="n">
        <v>7736.1</v>
      </c>
      <c r="F369" s="3" t="n">
        <v>0.005324054756272541</v>
      </c>
      <c r="G369" t="n">
        <v>187827</v>
      </c>
      <c r="H369" s="3" t="n">
        <v>0.003706399297756124</v>
      </c>
      <c r="I369" s="3" t="n">
        <v>0.007407098252536243</v>
      </c>
      <c r="J369" t="n">
        <v>34.9</v>
      </c>
      <c r="K369">
        <f>IF(IFERROR(INDEX(Spots!$K$2:$K$96,MATCH(A369,Spots!$A$2:$A$96,0)),"")="","",IFERROR(INDEX(Spots!$K$2:$K$96,MATCH(A369,Spots!$A$2:$A$96,0)),""))</f>
        <v/>
      </c>
      <c r="L369" s="3">
        <f>IF(OR(K369="",F369=""),"",F369/1000*K369*100)</f>
        <v/>
      </c>
      <c r="M369">
        <f>IF(OR(L369="",L369=0),"",ROUND(100/L369,0))</f>
        <v/>
      </c>
      <c r="N369" t="inlineStr"/>
    </row>
    <row r="370">
      <c r="A370" t="n">
        <v>210</v>
      </c>
      <c r="B370" t="inlineStr">
        <is>
          <t>Dark Energy Floodlands (Zephyros)</t>
        </is>
      </c>
      <c r="C370" t="inlineStr">
        <is>
          <t>Deboreka Belt</t>
        </is>
      </c>
      <c r="D370" t="n">
        <v>0.03456392</v>
      </c>
      <c r="E370" t="n">
        <v>7736.1</v>
      </c>
      <c r="F370" s="3" t="n">
        <v>0.004467873993355825</v>
      </c>
      <c r="G370" t="n">
        <v>223820</v>
      </c>
      <c r="H370" s="3" t="n">
        <v>0.002998678766094272</v>
      </c>
      <c r="I370" s="3" t="n">
        <v>0.006404565087425764</v>
      </c>
      <c r="J370" t="n">
        <v>29.3</v>
      </c>
      <c r="K370">
        <f>IF(IFERROR(INDEX(Spots!$K$2:$K$96,MATCH(A370,Spots!$A$2:$A$96,0)),"")="","",IFERROR(INDEX(Spots!$K$2:$K$96,MATCH(A370,Spots!$A$2:$A$96,0)),""))</f>
        <v/>
      </c>
      <c r="L370" s="3">
        <f>IF(OR(K370="",F370=""),"",F370/1000*K370*100)</f>
        <v/>
      </c>
      <c r="M370">
        <f>IF(OR(L370="",L370=0),"",ROUND(100/L370,0))</f>
        <v/>
      </c>
      <c r="N370" t="inlineStr">
        <is>
          <t>low sample</t>
        </is>
      </c>
    </row>
    <row r="371">
      <c r="A371" t="n">
        <v>210</v>
      </c>
      <c r="B371" t="inlineStr">
        <is>
          <t>Dark Energy Floodlands (Zephyros)</t>
        </is>
      </c>
      <c r="C371" t="inlineStr">
        <is>
          <t>HAN Crystal of Dusky Ruin</t>
        </is>
      </c>
      <c r="D371" t="n">
        <v>0.022523</v>
      </c>
      <c r="E371" t="n">
        <v>7736.1</v>
      </c>
      <c r="F371" s="3" t="n">
        <v>0.002911415312625224</v>
      </c>
      <c r="G371" t="n">
        <v>343476</v>
      </c>
      <c r="H371" s="3" t="n">
        <v>0.001754732889215935</v>
      </c>
      <c r="I371" s="3" t="n">
        <v>0.004541476840062295</v>
      </c>
      <c r="J371" t="n">
        <v>19.1</v>
      </c>
      <c r="K371">
        <f>IF(IFERROR(INDEX(Spots!$K$2:$K$96,MATCH(A371,Spots!$A$2:$A$96,0)),"")="","",IFERROR(INDEX(Spots!$K$2:$K$96,MATCH(A371,Spots!$A$2:$A$96,0)),""))</f>
        <v/>
      </c>
      <c r="L371" s="3">
        <f>IF(OR(K371="",F371=""),"",F371/1000*K371*100)</f>
        <v/>
      </c>
      <c r="M371">
        <f>IF(OR(L371="",L371=0),"",ROUND(100/L371,0))</f>
        <v/>
      </c>
      <c r="N371" t="inlineStr">
        <is>
          <t>low sample</t>
        </is>
      </c>
    </row>
    <row r="372">
      <c r="A372" t="n">
        <v>210</v>
      </c>
      <c r="B372" t="inlineStr">
        <is>
          <t>Dark Energy Floodlands (Zephyros)</t>
        </is>
      </c>
      <c r="C372" t="inlineStr">
        <is>
          <t>Flawless Herald's Crystal</t>
        </is>
      </c>
      <c r="D372" t="n">
        <v>0.00470411</v>
      </c>
      <c r="E372" t="n">
        <v>7736.1</v>
      </c>
      <c r="F372" s="3" t="n">
        <v>0.0006080725430126291</v>
      </c>
      <c r="G372" t="n">
        <v>1644541</v>
      </c>
      <c r="H372" s="3" t="n">
        <v>0.0001632128259080096</v>
      </c>
      <c r="I372" s="3" t="n">
        <v>0.00155855533748764</v>
      </c>
      <c r="J372" t="n">
        <v>4</v>
      </c>
      <c r="K372">
        <f>IF(IFERROR(INDEX(Spots!$K$2:$K$96,MATCH(A372,Spots!$A$2:$A$96,0)),"")="","",IFERROR(INDEX(Spots!$K$2:$K$96,MATCH(A372,Spots!$A$2:$A$96,0)),""))</f>
        <v/>
      </c>
      <c r="L372" s="3">
        <f>IF(OR(K372="",F372=""),"",F372/1000*K372*100)</f>
        <v/>
      </c>
      <c r="M372">
        <f>IF(OR(L372="",L372=0),"",ROUND(100/L372,0))</f>
        <v/>
      </c>
      <c r="N372" t="inlineStr">
        <is>
          <t>low sample</t>
        </is>
      </c>
    </row>
    <row r="373">
      <c r="A373" t="n">
        <v>210</v>
      </c>
      <c r="B373" t="inlineStr">
        <is>
          <t>Dark Energy Floodlands (Zephyros)</t>
        </is>
      </c>
      <c r="C373" t="inlineStr">
        <is>
          <t>Distorted Crystal of Origin</t>
        </is>
      </c>
      <c r="D373" t="n">
        <v>0.00146257</v>
      </c>
      <c r="E373" t="n">
        <v>7736.1</v>
      </c>
      <c r="F373" s="3" t="n">
        <v>0.0001890577939788782</v>
      </c>
      <c r="G373" t="n">
        <v>5289388</v>
      </c>
      <c r="H373" s="3" t="n">
        <v>6.419349193427472e-06</v>
      </c>
      <c r="I373" s="3" t="n">
        <v>0.0009109212521319945</v>
      </c>
      <c r="J373" t="n">
        <v>1.2</v>
      </c>
      <c r="K373">
        <f>IF(IFERROR(INDEX(Spots!$K$2:$K$96,MATCH(A373,Spots!$A$2:$A$96,0)),"")="","",IFERROR(INDEX(Spots!$K$2:$K$96,MATCH(A373,Spots!$A$2:$A$96,0)),""))</f>
        <v/>
      </c>
      <c r="L373" s="3">
        <f>IF(OR(K373="",F373=""),"",F373/1000*K373*100)</f>
        <v/>
      </c>
      <c r="M373">
        <f>IF(OR(L373="",L373=0),"",ROUND(100/L373,0))</f>
        <v/>
      </c>
      <c r="N373" t="inlineStr">
        <is>
          <t>low sample</t>
        </is>
      </c>
    </row>
    <row r="374">
      <c r="A374" t="n">
        <v>210</v>
      </c>
      <c r="B374" t="inlineStr">
        <is>
          <t>Dark Energy Floodlands (Zephyros)</t>
        </is>
      </c>
      <c r="C374" t="inlineStr">
        <is>
          <t>Silent Crystal of Origin</t>
        </is>
      </c>
      <c r="D374" t="n">
        <v>0.0011071</v>
      </c>
      <c r="E374" t="n">
        <v>7736.1</v>
      </c>
      <c r="F374" s="3" t="n">
        <v>0.0001431082845361358</v>
      </c>
      <c r="G374" t="n">
        <v>6987716</v>
      </c>
      <c r="H374" s="3" t="n">
        <v>1.277185361017084e-06</v>
      </c>
      <c r="I374" s="3" t="n">
        <v>0.0008317443508273417</v>
      </c>
      <c r="J374" t="n">
        <v>0.9</v>
      </c>
      <c r="K374">
        <f>IF(IFERROR(INDEX(Spots!$K$2:$K$96,MATCH(A374,Spots!$A$2:$A$96,0)),"")="","",IFERROR(INDEX(Spots!$K$2:$K$96,MATCH(A374,Spots!$A$2:$A$96,0)),""))</f>
        <v/>
      </c>
      <c r="L374" s="3">
        <f>IF(OR(K374="",F374=""),"",F374/1000*K374*100)</f>
        <v/>
      </c>
      <c r="M374">
        <f>IF(OR(L374="",L374=0),"",ROUND(100/L374,0))</f>
        <v/>
      </c>
      <c r="N374" t="inlineStr">
        <is>
          <t>low sample</t>
        </is>
      </c>
    </row>
    <row r="375">
      <c r="A375" t="n">
        <v>153</v>
      </c>
      <c r="B375" t="inlineStr">
        <is>
          <t>Darkseeker's Retreat</t>
        </is>
      </c>
      <c r="C375" t="inlineStr">
        <is>
          <t>Black Stone</t>
        </is>
      </c>
      <c r="D375" t="n">
        <v>27.683</v>
      </c>
      <c r="E375" t="n">
        <v>9928</v>
      </c>
      <c r="F375" s="3" t="n">
        <v>2.788376309427881</v>
      </c>
      <c r="G375" t="n">
        <v>359</v>
      </c>
      <c r="H375" s="3" t="n">
        <v>2.774302683170023</v>
      </c>
      <c r="I375" s="3" t="n">
        <v>2.802503635060029</v>
      </c>
      <c r="J375" t="n">
        <v>150424.8</v>
      </c>
      <c r="K375">
        <f>IF(IFERROR(INDEX(Spots!$K$2:$K$96,MATCH(A375,Spots!$A$2:$A$96,0)),"")="","",IFERROR(INDEX(Spots!$K$2:$K$96,MATCH(A375,Spots!$A$2:$A$96,0)),""))</f>
        <v/>
      </c>
      <c r="L375" s="3">
        <f>IF(OR(K375="",F375=""),"",F375/1000*K375*100)</f>
        <v/>
      </c>
      <c r="M375">
        <f>IF(OR(L375="",L375=0),"",ROUND(100/L375,0))</f>
        <v/>
      </c>
      <c r="N375" t="inlineStr"/>
    </row>
    <row r="376">
      <c r="A376" t="n">
        <v>153</v>
      </c>
      <c r="B376" t="inlineStr">
        <is>
          <t>Darkseeker's Retreat</t>
        </is>
      </c>
      <c r="C376" t="inlineStr">
        <is>
          <t>Trace of Nature</t>
        </is>
      </c>
      <c r="D376" t="n">
        <v>22.137</v>
      </c>
      <c r="E376" t="n">
        <v>9928</v>
      </c>
      <c r="F376" s="3" t="n">
        <v>2.229754230459307</v>
      </c>
      <c r="G376" t="n">
        <v>448</v>
      </c>
      <c r="H376" s="3" t="n">
        <v>2.217170926831182</v>
      </c>
      <c r="I376" s="3" t="n">
        <v>2.242391238994795</v>
      </c>
      <c r="J376" t="n">
        <v>120288.8</v>
      </c>
      <c r="K376">
        <f>IF(IFERROR(INDEX(Spots!$K$2:$K$96,MATCH(A376,Spots!$A$2:$A$96,0)),"")="","",IFERROR(INDEX(Spots!$K$2:$K$96,MATCH(A376,Spots!$A$2:$A$96,0)),""))</f>
        <v/>
      </c>
      <c r="L376" s="3">
        <f>IF(OR(K376="",F376=""),"",F376/1000*K376*100)</f>
        <v/>
      </c>
      <c r="M376">
        <f>IF(OR(L376="",L376=0),"",ROUND(100/L376,0))</f>
        <v/>
      </c>
      <c r="N376" t="inlineStr"/>
    </row>
    <row r="377">
      <c r="A377" t="n">
        <v>153</v>
      </c>
      <c r="B377" t="inlineStr">
        <is>
          <t>Darkseeker's Retreat</t>
        </is>
      </c>
      <c r="C377" t="inlineStr">
        <is>
          <t>Ancient Spirit Dust</t>
        </is>
      </c>
      <c r="D377" t="n">
        <v>15.36</v>
      </c>
      <c r="E377" t="n">
        <v>9928</v>
      </c>
      <c r="F377" s="3" t="n">
        <v>1.547139403706688</v>
      </c>
      <c r="G377" t="n">
        <v>646</v>
      </c>
      <c r="H377" s="3" t="n">
        <v>1.536660659136886</v>
      </c>
      <c r="I377" s="3" t="n">
        <v>1.557671863671426</v>
      </c>
      <c r="J377" t="n">
        <v>83463.7</v>
      </c>
      <c r="K377">
        <f>IF(IFERROR(INDEX(Spots!$K$2:$K$96,MATCH(A377,Spots!$A$2:$A$96,0)),"")="","",IFERROR(INDEX(Spots!$K$2:$K$96,MATCH(A377,Spots!$A$2:$A$96,0)),""))</f>
        <v/>
      </c>
      <c r="L377" s="3">
        <f>IF(OR(K377="",F377=""),"",F377/1000*K377*100)</f>
        <v/>
      </c>
      <c r="M377">
        <f>IF(OR(L377="",L377=0),"",ROUND(100/L377,0))</f>
        <v/>
      </c>
      <c r="N377" t="inlineStr"/>
    </row>
    <row r="378">
      <c r="A378" t="n">
        <v>153</v>
      </c>
      <c r="B378" t="inlineStr">
        <is>
          <t>Darkseeker's Retreat</t>
        </is>
      </c>
      <c r="C378" t="inlineStr">
        <is>
          <t>Sealed Black Magic Crystal</t>
        </is>
      </c>
      <c r="D378" t="n">
        <v>13.455</v>
      </c>
      <c r="E378" t="n">
        <v>9928</v>
      </c>
      <c r="F378" s="3" t="n">
        <v>1.355257856567284</v>
      </c>
      <c r="G378" t="n">
        <v>738</v>
      </c>
      <c r="H378" s="3" t="n">
        <v>1.345451546394399</v>
      </c>
      <c r="I378" s="3" t="n">
        <v>1.365117886432493</v>
      </c>
      <c r="J378" t="n">
        <v>73112.2</v>
      </c>
      <c r="K378">
        <f>IF(IFERROR(INDEX(Spots!$K$2:$K$96,MATCH(A378,Spots!$A$2:$A$96,0)),"")="","",IFERROR(INDEX(Spots!$K$2:$K$96,MATCH(A378,Spots!$A$2:$A$96,0)),""))</f>
        <v/>
      </c>
      <c r="L378" s="3">
        <f>IF(OR(K378="",F378=""),"",F378/1000*K378*100)</f>
        <v/>
      </c>
      <c r="M378">
        <f>IF(OR(L378="",L378=0),"",ROUND(100/L378,0))</f>
        <v/>
      </c>
      <c r="N378" t="inlineStr"/>
    </row>
    <row r="379">
      <c r="A379" t="n">
        <v>153</v>
      </c>
      <c r="B379" t="inlineStr">
        <is>
          <t>Darkseeker's Retreat</t>
        </is>
      </c>
      <c r="C379" t="inlineStr">
        <is>
          <t>Kabua's Fragment</t>
        </is>
      </c>
      <c r="D379" t="n">
        <v>1.228592</v>
      </c>
      <c r="E379" t="n">
        <v>9928</v>
      </c>
      <c r="F379" s="3" t="n">
        <v>0.1237502014504432</v>
      </c>
      <c r="G379" t="n">
        <v>8081</v>
      </c>
      <c r="H379" s="3" t="n">
        <v>0.1207992404124596</v>
      </c>
      <c r="I379" s="3" t="n">
        <v>0.1267550367921442</v>
      </c>
      <c r="J379" t="n">
        <v>6676</v>
      </c>
      <c r="K379">
        <f>IF(IFERROR(INDEX(Spots!$K$2:$K$96,MATCH(A379,Spots!$A$2:$A$96,0)),"")="","",IFERROR(INDEX(Spots!$K$2:$K$96,MATCH(A379,Spots!$A$2:$A$96,0)),""))</f>
        <v/>
      </c>
      <c r="L379" s="3">
        <f>IF(OR(K379="",F379=""),"",F379/1000*K379*100)</f>
        <v/>
      </c>
      <c r="M379">
        <f>IF(OR(L379="",L379=0),"",ROUND(100/L379,0))</f>
        <v/>
      </c>
      <c r="N379" t="inlineStr"/>
    </row>
    <row r="380">
      <c r="A380" t="n">
        <v>153</v>
      </c>
      <c r="B380" t="inlineStr">
        <is>
          <t>Darkseeker's Retreat</t>
        </is>
      </c>
      <c r="C380" t="inlineStr">
        <is>
          <t>Imperfect Lightstone of Fire</t>
        </is>
      </c>
      <c r="D380" t="n">
        <v>0.71248545</v>
      </c>
      <c r="E380" t="n">
        <v>9928</v>
      </c>
      <c r="F380" s="3" t="n">
        <v>0.07176525483481062</v>
      </c>
      <c r="G380" t="n">
        <v>13934</v>
      </c>
      <c r="H380" s="3" t="n">
        <v>0.06952223072256294</v>
      </c>
      <c r="I380" s="3" t="n">
        <v>0.07406222244445837</v>
      </c>
      <c r="J380" t="n">
        <v>3871.5</v>
      </c>
      <c r="K380">
        <f>IF(IFERROR(INDEX(Spots!$K$2:$K$96,MATCH(A380,Spots!$A$2:$A$96,0)),"")="","",IFERROR(INDEX(Spots!$K$2:$K$96,MATCH(A380,Spots!$A$2:$A$96,0)),""))</f>
        <v/>
      </c>
      <c r="L380" s="3">
        <f>IF(OR(K380="",F380=""),"",F380/1000*K380*100)</f>
        <v/>
      </c>
      <c r="M380">
        <f>IF(OR(L380="",L380=0),"",ROUND(100/L380,0))</f>
        <v/>
      </c>
      <c r="N380" t="inlineStr"/>
    </row>
    <row r="381">
      <c r="A381" t="n">
        <v>153</v>
      </c>
      <c r="B381" t="inlineStr">
        <is>
          <t>Darkseeker's Retreat</t>
        </is>
      </c>
      <c r="C381" t="inlineStr">
        <is>
          <t>Embers of Resonance</t>
        </is>
      </c>
      <c r="D381" t="n">
        <v>0.3825154</v>
      </c>
      <c r="E381" t="n">
        <v>9928</v>
      </c>
      <c r="F381" s="3" t="n">
        <v>0.03852894842868654</v>
      </c>
      <c r="G381" t="n">
        <v>25955</v>
      </c>
      <c r="H381" s="3" t="n">
        <v>0.03689016765899582</v>
      </c>
      <c r="I381" s="3" t="n">
        <v>0.04022177830733176</v>
      </c>
      <c r="J381" t="n">
        <v>2078.5</v>
      </c>
      <c r="K381">
        <f>IF(IFERROR(INDEX(Spots!$K$2:$K$96,MATCH(A381,Spots!$A$2:$A$96,0)),"")="","",IFERROR(INDEX(Spots!$K$2:$K$96,MATCH(A381,Spots!$A$2:$A$96,0)),""))</f>
        <v/>
      </c>
      <c r="L381" s="3">
        <f>IF(OR(K381="",F381=""),"",F381/1000*K381*100)</f>
        <v/>
      </c>
      <c r="M381">
        <f>IF(OR(L381="",L381=0),"",ROUND(100/L381,0))</f>
        <v/>
      </c>
      <c r="N381" t="inlineStr"/>
    </row>
    <row r="382">
      <c r="A382" t="n">
        <v>153</v>
      </c>
      <c r="B382" t="inlineStr">
        <is>
          <t>Darkseeker's Retreat</t>
        </is>
      </c>
      <c r="C382" t="inlineStr">
        <is>
          <t>Essence of Devouring</t>
        </is>
      </c>
      <c r="D382" t="n">
        <v>0.31094995</v>
      </c>
      <c r="E382" t="n">
        <v>9928</v>
      </c>
      <c r="F382" s="3" t="n">
        <v>0.03132050261885576</v>
      </c>
      <c r="G382" t="n">
        <v>31928</v>
      </c>
      <c r="H382" s="3" t="n">
        <v>0.02984469482830298</v>
      </c>
      <c r="I382" s="3" t="n">
        <v>0.03285040255488719</v>
      </c>
      <c r="J382" t="n">
        <v>1689.7</v>
      </c>
      <c r="K382">
        <f>IF(IFERROR(INDEX(Spots!$K$2:$K$96,MATCH(A382,Spots!$A$2:$A$96,0)),"")="","",IFERROR(INDEX(Spots!$K$2:$K$96,MATCH(A382,Spots!$A$2:$A$96,0)),""))</f>
        <v/>
      </c>
      <c r="L382" s="3">
        <f>IF(OR(K382="",F382=""),"",F382/1000*K382*100)</f>
        <v/>
      </c>
      <c r="M382">
        <f>IF(OR(L382="",L382=0),"",ROUND(100/L382,0))</f>
        <v/>
      </c>
      <c r="N382" t="inlineStr"/>
    </row>
    <row r="383">
      <c r="A383" t="n">
        <v>153</v>
      </c>
      <c r="B383" t="inlineStr">
        <is>
          <t>Darkseeker's Retreat</t>
        </is>
      </c>
      <c r="C383" t="inlineStr">
        <is>
          <t>Darkseekers' Retreat Paint</t>
        </is>
      </c>
      <c r="D383" t="n">
        <v>0.14391664</v>
      </c>
      <c r="E383" t="n">
        <v>9928</v>
      </c>
      <c r="F383" s="3" t="n">
        <v>0.014496035455278</v>
      </c>
      <c r="G383" t="n">
        <v>68984</v>
      </c>
      <c r="H383" s="3" t="n">
        <v>0.01349768785528019</v>
      </c>
      <c r="I383" s="3" t="n">
        <v>0.01554868009504433</v>
      </c>
      <c r="J383" t="n">
        <v>782</v>
      </c>
      <c r="K383">
        <f>IF(IFERROR(INDEX(Spots!$K$2:$K$96,MATCH(A383,Spots!$A$2:$A$96,0)),"")="","",IFERROR(INDEX(Spots!$K$2:$K$96,MATCH(A383,Spots!$A$2:$A$96,0)),""))</f>
        <v/>
      </c>
      <c r="L383" s="3">
        <f>IF(OR(K383="",F383=""),"",F383/1000*K383*100)</f>
        <v/>
      </c>
      <c r="M383">
        <f>IF(OR(L383="",L383=0),"",ROUND(100/L383,0))</f>
        <v/>
      </c>
      <c r="N383" t="inlineStr"/>
    </row>
    <row r="384">
      <c r="A384" t="n">
        <v>153</v>
      </c>
      <c r="B384" t="inlineStr">
        <is>
          <t>Darkseeker's Retreat</t>
        </is>
      </c>
      <c r="C384" t="inlineStr">
        <is>
          <t>Imperfect Lightstone of Earth</t>
        </is>
      </c>
      <c r="D384" t="n">
        <v>0.0606494</v>
      </c>
      <c r="E384" t="n">
        <v>9928</v>
      </c>
      <c r="F384" s="3" t="n">
        <v>0.006108924254633359</v>
      </c>
      <c r="G384" t="n">
        <v>163695</v>
      </c>
      <c r="H384" s="3" t="n">
        <v>0.005467076052105096</v>
      </c>
      <c r="I384" s="3" t="n">
        <v>0.006805413353040559</v>
      </c>
      <c r="J384" t="n">
        <v>329.6</v>
      </c>
      <c r="K384">
        <f>IF(IFERROR(INDEX(Spots!$K$2:$K$96,MATCH(A384,Spots!$A$2:$A$96,0)),"")="","",IFERROR(INDEX(Spots!$K$2:$K$96,MATCH(A384,Spots!$A$2:$A$96,0)),""))</f>
        <v/>
      </c>
      <c r="L384" s="3">
        <f>IF(OR(K384="",F384=""),"",F384/1000*K384*100)</f>
        <v/>
      </c>
      <c r="M384">
        <f>IF(OR(L384="",L384=0),"",ROUND(100/L384,0))</f>
        <v/>
      </c>
      <c r="N384" t="inlineStr"/>
    </row>
    <row r="385">
      <c r="A385" t="n">
        <v>153</v>
      </c>
      <c r="B385" t="inlineStr">
        <is>
          <t>Darkseeker's Retreat</t>
        </is>
      </c>
      <c r="C385" t="inlineStr">
        <is>
          <t>Imperfect Lightstone of Wind</t>
        </is>
      </c>
      <c r="D385" t="n">
        <v>0.05086367</v>
      </c>
      <c r="E385" t="n">
        <v>9928</v>
      </c>
      <c r="F385" s="3" t="n">
        <v>0.00512325443190975</v>
      </c>
      <c r="G385" t="n">
        <v>195188</v>
      </c>
      <c r="H385" s="3" t="n">
        <v>0.004536968718626436</v>
      </c>
      <c r="I385" s="3" t="n">
        <v>0.005764270643297077</v>
      </c>
      <c r="J385" t="n">
        <v>276.4</v>
      </c>
      <c r="K385">
        <f>IF(IFERROR(INDEX(Spots!$K$2:$K$96,MATCH(A385,Spots!$A$2:$A$96,0)),"")="","",IFERROR(INDEX(Spots!$K$2:$K$96,MATCH(A385,Spots!$A$2:$A$96,0)),""))</f>
        <v/>
      </c>
      <c r="L385" s="3">
        <f>IF(OR(K385="",F385=""),"",F385/1000*K385*100)</f>
        <v/>
      </c>
      <c r="M385">
        <f>IF(OR(L385="",L385=0),"",ROUND(100/L385,0))</f>
        <v/>
      </c>
      <c r="N385" t="inlineStr"/>
    </row>
    <row r="386">
      <c r="A386" t="n">
        <v>153</v>
      </c>
      <c r="B386" t="inlineStr">
        <is>
          <t>Darkseeker's Retreat</t>
        </is>
      </c>
      <c r="C386" t="inlineStr">
        <is>
          <t>Forgotten Limbo Box</t>
        </is>
      </c>
      <c r="D386" t="n">
        <v>0.03078124</v>
      </c>
      <c r="E386" t="n">
        <v>9928</v>
      </c>
      <c r="F386" s="3" t="n">
        <v>0.003100447219983884</v>
      </c>
      <c r="G386" t="n">
        <v>322534</v>
      </c>
      <c r="H386" s="3" t="n">
        <v>0.002648340848573266</v>
      </c>
      <c r="I386" s="3" t="n">
        <v>0.00360758609643378</v>
      </c>
      <c r="J386" t="n">
        <v>167.3</v>
      </c>
      <c r="K386">
        <f>IF(IFERROR(INDEX(Spots!$K$2:$K$96,MATCH(A386,Spots!$A$2:$A$96,0)),"")="","",IFERROR(INDEX(Spots!$K$2:$K$96,MATCH(A386,Spots!$A$2:$A$96,0)),""))</f>
        <v/>
      </c>
      <c r="L386" s="3">
        <f>IF(OR(K386="",F386=""),"",F386/1000*K386*100)</f>
        <v/>
      </c>
      <c r="M386">
        <f>IF(OR(L386="",L386=0),"",ROUND(100/L386,0))</f>
        <v/>
      </c>
      <c r="N386" t="inlineStr"/>
    </row>
    <row r="387">
      <c r="A387" t="n">
        <v>153</v>
      </c>
      <c r="B387" t="inlineStr">
        <is>
          <t>Darkseeker's Retreat</t>
        </is>
      </c>
      <c r="C387" t="inlineStr">
        <is>
          <t>Origin of Dark Hunger</t>
        </is>
      </c>
      <c r="D387" t="n">
        <v>0.02274112</v>
      </c>
      <c r="E387" t="n">
        <v>9928</v>
      </c>
      <c r="F387" s="3" t="n">
        <v>0.002290604351329573</v>
      </c>
      <c r="G387" t="n">
        <v>436566</v>
      </c>
      <c r="H387" s="3" t="n">
        <v>0.001904532359087538</v>
      </c>
      <c r="I387" s="3" t="n">
        <v>0.002731929384694463</v>
      </c>
      <c r="J387" t="n">
        <v>123.6</v>
      </c>
      <c r="K387">
        <f>IF(IFERROR(INDEX(Spots!$K$2:$K$96,MATCH(A387,Spots!$A$2:$A$96,0)),"")="","",IFERROR(INDEX(Spots!$K$2:$K$96,MATCH(A387,Spots!$A$2:$A$96,0)),""))</f>
        <v/>
      </c>
      <c r="L387" s="3">
        <f>IF(OR(K387="",F387=""),"",F387/1000*K387*100)</f>
        <v/>
      </c>
      <c r="M387">
        <f>IF(OR(L387="",L387=0),"",ROUND(100/L387,0))</f>
        <v/>
      </c>
      <c r="N387" t="inlineStr"/>
    </row>
    <row r="388">
      <c r="A388" t="n">
        <v>153</v>
      </c>
      <c r="B388" t="inlineStr">
        <is>
          <t>Darkseeker's Retreat</t>
        </is>
      </c>
      <c r="C388" t="inlineStr">
        <is>
          <t>Kabua's Artifact</t>
        </is>
      </c>
      <c r="D388" t="n">
        <v>0.009299470000000001</v>
      </c>
      <c r="E388" t="n">
        <v>9928</v>
      </c>
      <c r="F388" s="3" t="n">
        <v>0.0009366911764705883</v>
      </c>
      <c r="G388" t="n">
        <v>1067588</v>
      </c>
      <c r="H388" s="3" t="n">
        <v>0.0006963500404528001</v>
      </c>
      <c r="I388" s="3" t="n">
        <v>0.00123315531758591</v>
      </c>
      <c r="J388" t="n">
        <v>50.5</v>
      </c>
      <c r="K388">
        <f>IF(IFERROR(INDEX(Spots!$K$2:$K$96,MATCH(A388,Spots!$A$2:$A$96,0)),"")="","",IFERROR(INDEX(Spots!$K$2:$K$96,MATCH(A388,Spots!$A$2:$A$96,0)),""))</f>
        <v/>
      </c>
      <c r="L388" s="3">
        <f>IF(OR(K388="",F388=""),"",F388/1000*K388*100)</f>
        <v/>
      </c>
      <c r="M388">
        <f>IF(OR(L388="",L388=0),"",ROUND(100/L388,0))</f>
        <v/>
      </c>
      <c r="N388" t="inlineStr"/>
    </row>
    <row r="389">
      <c r="A389" t="n">
        <v>153</v>
      </c>
      <c r="B389" t="inlineStr">
        <is>
          <t>Darkseeker's Retreat</t>
        </is>
      </c>
      <c r="C389" t="inlineStr">
        <is>
          <t>Flame of Resonance</t>
        </is>
      </c>
      <c r="D389" t="n">
        <v>0.00260141</v>
      </c>
      <c r="E389" t="n">
        <v>9928</v>
      </c>
      <c r="F389" s="3" t="n">
        <v>0.0002620275987107172</v>
      </c>
      <c r="G389" t="n">
        <v>3816392</v>
      </c>
      <c r="H389" s="3" t="n">
        <v>0.000143613082074478</v>
      </c>
      <c r="I389" s="3" t="n">
        <v>0.0004386018150266047</v>
      </c>
      <c r="J389" t="n">
        <v>14.1</v>
      </c>
      <c r="K389">
        <f>IF(IFERROR(INDEX(Spots!$K$2:$K$96,MATCH(A389,Spots!$A$2:$A$96,0)),"")="","",IFERROR(INDEX(Spots!$K$2:$K$96,MATCH(A389,Spots!$A$2:$A$96,0)),""))</f>
        <v/>
      </c>
      <c r="L389" s="3">
        <f>IF(OR(K389="",F389=""),"",F389/1000*K389*100)</f>
        <v/>
      </c>
      <c r="M389">
        <f>IF(OR(L389="",L389=0),"",ROUND(100/L389,0))</f>
        <v/>
      </c>
      <c r="N389" t="inlineStr">
        <is>
          <t>low sample</t>
        </is>
      </c>
    </row>
    <row r="390">
      <c r="A390" t="n">
        <v>153</v>
      </c>
      <c r="B390" t="inlineStr">
        <is>
          <t>Darkseeker's Retreat</t>
        </is>
      </c>
      <c r="C390" t="inlineStr">
        <is>
          <t>Lafi Bedmountain's Upgraded Telescope Parts</t>
        </is>
      </c>
      <c r="D390" t="n">
        <v>0.00174896</v>
      </c>
      <c r="E390" t="n">
        <v>9928</v>
      </c>
      <c r="F390" s="3" t="n">
        <v>0.0001761643835616438</v>
      </c>
      <c r="G390" t="n">
        <v>5676516</v>
      </c>
      <c r="H390" s="3" t="n">
        <v>8.244022104992633e-05</v>
      </c>
      <c r="I390" s="3" t="n">
        <v>0.0003289387684384072</v>
      </c>
      <c r="J390" t="n">
        <v>9.5</v>
      </c>
      <c r="K390">
        <f>IF(IFERROR(INDEX(Spots!$K$2:$K$96,MATCH(A390,Spots!$A$2:$A$96,0)),"")="","",IFERROR(INDEX(Spots!$K$2:$K$96,MATCH(A390,Spots!$A$2:$A$96,0)),""))</f>
        <v/>
      </c>
      <c r="L390" s="3">
        <f>IF(OR(K390="",F390=""),"",F390/1000*K390*100)</f>
        <v/>
      </c>
      <c r="M390">
        <f>IF(OR(L390="",L390=0),"",ROUND(100/L390,0))</f>
        <v/>
      </c>
      <c r="N390" t="inlineStr">
        <is>
          <t>low sample</t>
        </is>
      </c>
    </row>
    <row r="391">
      <c r="A391" t="n">
        <v>153</v>
      </c>
      <c r="B391" t="inlineStr">
        <is>
          <t>Darkseeker's Retreat</t>
        </is>
      </c>
      <c r="C391" t="inlineStr">
        <is>
          <t>Lafi Bedmountain's Upgraded Telescope Parts</t>
        </is>
      </c>
      <c r="D391" t="n">
        <v>0.00146438</v>
      </c>
      <c r="E391" t="n">
        <v>9928</v>
      </c>
      <c r="F391" s="3" t="n">
        <v>0.0001475</v>
      </c>
      <c r="G391" t="n">
        <v>6779661</v>
      </c>
      <c r="H391" s="3" t="n">
        <v>6.333517775054768e-05</v>
      </c>
      <c r="I391" s="3" t="n">
        <v>0.0002911589658965512</v>
      </c>
      <c r="J391" t="n">
        <v>8</v>
      </c>
      <c r="K391">
        <f>IF(IFERROR(INDEX(Spots!$K$2:$K$96,MATCH(A391,Spots!$A$2:$A$96,0)),"")="","",IFERROR(INDEX(Spots!$K$2:$K$96,MATCH(A391,Spots!$A$2:$A$96,0)),""))</f>
        <v/>
      </c>
      <c r="L391" s="3">
        <f>IF(OR(K391="",F391=""),"",F391/1000*K391*100)</f>
        <v/>
      </c>
      <c r="M391">
        <f>IF(OR(L391="",L391=0),"",ROUND(100/L391,0))</f>
        <v/>
      </c>
      <c r="N391" t="inlineStr">
        <is>
          <t>low sample</t>
        </is>
      </c>
    </row>
    <row r="392">
      <c r="A392" t="n">
        <v>82</v>
      </c>
      <c r="B392" t="inlineStr">
        <is>
          <t>Desert Naga Temple</t>
        </is>
      </c>
      <c r="C392" t="inlineStr">
        <is>
          <t>Black Stone</t>
        </is>
      </c>
      <c r="D392" t="n">
        <v>62.724</v>
      </c>
      <c r="E392" t="n">
        <v>3735.8</v>
      </c>
      <c r="F392" s="3" t="n">
        <v>16.78997805021682</v>
      </c>
      <c r="G392" t="n">
        <v>60</v>
      </c>
      <c r="H392" s="3" t="n">
        <v>16.11955073410709</v>
      </c>
      <c r="I392" s="3" t="n">
        <v>17.48112642063293</v>
      </c>
      <c r="J392" t="n">
        <v>2361.6</v>
      </c>
      <c r="K392">
        <f>IF(IFERROR(INDEX(Spots!$K$2:$K$96,MATCH(A392,Spots!$A$2:$A$96,0)),"")="","",IFERROR(INDEX(Spots!$K$2:$K$96,MATCH(A392,Spots!$A$2:$A$96,0)),""))</f>
        <v/>
      </c>
      <c r="L392" s="3">
        <f>IF(OR(K392="",F392=""),"",F392/1000*K392*100)</f>
        <v/>
      </c>
      <c r="M392">
        <f>IF(OR(L392="",L392=0),"",ROUND(100/L392,0))</f>
        <v/>
      </c>
      <c r="N392" t="inlineStr">
        <is>
          <t>low sample</t>
        </is>
      </c>
    </row>
    <row r="393">
      <c r="A393" t="n">
        <v>82</v>
      </c>
      <c r="B393" t="inlineStr">
        <is>
          <t>Desert Naga Temple</t>
        </is>
      </c>
      <c r="C393" t="inlineStr">
        <is>
          <t>Caphras Stone</t>
        </is>
      </c>
      <c r="D393" t="n">
        <v>10.089</v>
      </c>
      <c r="E393" t="n">
        <v>3735.8</v>
      </c>
      <c r="F393" s="3" t="n">
        <v>2.700626371861448</v>
      </c>
      <c r="G393" t="n">
        <v>370</v>
      </c>
      <c r="H393" s="3" t="n">
        <v>2.435825689565905</v>
      </c>
      <c r="I393" s="3" t="n">
        <v>2.986358776910226</v>
      </c>
      <c r="J393" t="n">
        <v>379.9</v>
      </c>
      <c r="K393">
        <f>IF(IFERROR(INDEX(Spots!$K$2:$K$96,MATCH(A393,Spots!$A$2:$A$96,0)),"")="","",IFERROR(INDEX(Spots!$K$2:$K$96,MATCH(A393,Spots!$A$2:$A$96,0)),""))</f>
        <v/>
      </c>
      <c r="L393" s="3">
        <f>IF(OR(K393="",F393=""),"",F393/1000*K393*100)</f>
        <v/>
      </c>
      <c r="M393">
        <f>IF(OR(L393="",L393=0),"",ROUND(100/L393,0))</f>
        <v/>
      </c>
      <c r="N393" t="inlineStr">
        <is>
          <t>low sample</t>
        </is>
      </c>
    </row>
    <row r="394">
      <c r="A394" t="n">
        <v>82</v>
      </c>
      <c r="B394" t="inlineStr">
        <is>
          <t>Desert Naga Temple</t>
        </is>
      </c>
      <c r="C394" t="inlineStr">
        <is>
          <t>Ancient Spirit Dust</t>
        </is>
      </c>
      <c r="D394" t="n">
        <v>8.596043</v>
      </c>
      <c r="E394" t="n">
        <v>3735.8</v>
      </c>
      <c r="F394" s="3" t="n">
        <v>2.300991220086729</v>
      </c>
      <c r="G394" t="n">
        <v>435</v>
      </c>
      <c r="H394" s="3" t="n">
        <v>2.057093815556376</v>
      </c>
      <c r="I394" s="3" t="n">
        <v>2.565849424203302</v>
      </c>
      <c r="J394" t="n">
        <v>323.6</v>
      </c>
      <c r="K394">
        <f>IF(IFERROR(INDEX(Spots!$K$2:$K$96,MATCH(A394,Spots!$A$2:$A$96,0)),"")="","",IFERROR(INDEX(Spots!$K$2:$K$96,MATCH(A394,Spots!$A$2:$A$96,0)),""))</f>
        <v/>
      </c>
      <c r="L394" s="3">
        <f>IF(OR(K394="",F394=""),"",F394/1000*K394*100)</f>
        <v/>
      </c>
      <c r="M394">
        <f>IF(OR(L394="",L394=0),"",ROUND(100/L394,0))</f>
        <v/>
      </c>
      <c r="N394" t="inlineStr">
        <is>
          <t>low sample</t>
        </is>
      </c>
    </row>
    <row r="395">
      <c r="A395" t="n">
        <v>82</v>
      </c>
      <c r="B395" t="inlineStr">
        <is>
          <t>Desert Naga Temple</t>
        </is>
      </c>
      <c r="C395" t="inlineStr">
        <is>
          <t>Scroll Written in Ancient Language</t>
        </is>
      </c>
      <c r="D395" t="n">
        <v>5.003958</v>
      </c>
      <c r="E395" t="n">
        <v>3735.8</v>
      </c>
      <c r="F395" s="3" t="n">
        <v>1.339460891910702</v>
      </c>
      <c r="G395" t="n">
        <v>747</v>
      </c>
      <c r="H395" s="3" t="n">
        <v>1.15500235151615</v>
      </c>
      <c r="I395" s="3" t="n">
        <v>1.544996992597453</v>
      </c>
      <c r="J395" t="n">
        <v>188.4</v>
      </c>
      <c r="K395">
        <f>IF(IFERROR(INDEX(Spots!$K$2:$K$96,MATCH(A395,Spots!$A$2:$A$96,0)),"")="","",IFERROR(INDEX(Spots!$K$2:$K$96,MATCH(A395,Spots!$A$2:$A$96,0)),""))</f>
        <v/>
      </c>
      <c r="L395" s="3">
        <f>IF(OR(K395="",F395=""),"",F395/1000*K395*100)</f>
        <v/>
      </c>
      <c r="M395">
        <f>IF(OR(L395="",L395=0),"",ROUND(100/L395,0))</f>
        <v/>
      </c>
      <c r="N395" t="inlineStr">
        <is>
          <t>low sample</t>
        </is>
      </c>
    </row>
    <row r="396">
      <c r="A396" t="n">
        <v>82</v>
      </c>
      <c r="B396" t="inlineStr">
        <is>
          <t>Desert Naga Temple</t>
        </is>
      </c>
      <c r="C396" t="inlineStr">
        <is>
          <t>Sealed Black Magic Crystal</t>
        </is>
      </c>
      <c r="D396" t="n">
        <v>3.415142</v>
      </c>
      <c r="E396" t="n">
        <v>3735.8</v>
      </c>
      <c r="F396" s="3" t="n">
        <v>0.9141661759194817</v>
      </c>
      <c r="G396" t="n">
        <v>1094</v>
      </c>
      <c r="H396" s="3" t="n">
        <v>0.7629792319593303</v>
      </c>
      <c r="I396" s="3" t="n">
        <v>1.086533490614743</v>
      </c>
      <c r="J396" t="n">
        <v>128.6</v>
      </c>
      <c r="K396">
        <f>IF(IFERROR(INDEX(Spots!$K$2:$K$96,MATCH(A396,Spots!$A$2:$A$96,0)),"")="","",IFERROR(INDEX(Spots!$K$2:$K$96,MATCH(A396,Spots!$A$2:$A$96,0)),""))</f>
        <v/>
      </c>
      <c r="L396" s="3">
        <f>IF(OR(K396="",F396=""),"",F396/1000*K396*100)</f>
        <v/>
      </c>
      <c r="M396">
        <f>IF(OR(L396="",L396=0),"",ROUND(100/L396,0))</f>
        <v/>
      </c>
      <c r="N396" t="inlineStr">
        <is>
          <t>low sample</t>
        </is>
      </c>
    </row>
    <row r="397">
      <c r="A397" t="n">
        <v>82</v>
      </c>
      <c r="B397" t="inlineStr">
        <is>
          <t>Desert Naga Temple</t>
        </is>
      </c>
      <c r="C397" t="inlineStr">
        <is>
          <t>Trace of Nature</t>
        </is>
      </c>
      <c r="D397" t="n">
        <v>2.928664</v>
      </c>
      <c r="E397" t="n">
        <v>3735.8</v>
      </c>
      <c r="F397" s="3" t="n">
        <v>0.7839456073665613</v>
      </c>
      <c r="G397" t="n">
        <v>1276</v>
      </c>
      <c r="H397" s="3" t="n">
        <v>0.644451977202355</v>
      </c>
      <c r="I397" s="3" t="n">
        <v>0.9446665541609981</v>
      </c>
      <c r="J397" t="n">
        <v>110.3</v>
      </c>
      <c r="K397">
        <f>IF(IFERROR(INDEX(Spots!$K$2:$K$96,MATCH(A397,Spots!$A$2:$A$96,0)),"")="","",IFERROR(INDEX(Spots!$K$2:$K$96,MATCH(A397,Spots!$A$2:$A$96,0)),""))</f>
        <v/>
      </c>
      <c r="L397" s="3">
        <f>IF(OR(K397="",F397=""),"",F397/1000*K397*100)</f>
        <v/>
      </c>
      <c r="M397">
        <f>IF(OR(L397="",L397=0),"",ROUND(100/L397,0))</f>
        <v/>
      </c>
      <c r="N397" t="inlineStr">
        <is>
          <t>low sample</t>
        </is>
      </c>
    </row>
    <row r="398">
      <c r="A398" t="n">
        <v>82</v>
      </c>
      <c r="B398" t="inlineStr">
        <is>
          <t>Desert Naga Temple</t>
        </is>
      </c>
      <c r="C398" t="inlineStr">
        <is>
          <t>Rocaba Defense Gear Box</t>
        </is>
      </c>
      <c r="D398" t="n">
        <v>2.371908</v>
      </c>
      <c r="E398" t="n">
        <v>3735.8</v>
      </c>
      <c r="F398" s="3" t="n">
        <v>0.634913003908132</v>
      </c>
      <c r="G398" t="n">
        <v>1575</v>
      </c>
      <c r="H398" s="3" t="n">
        <v>0.5100708299804658</v>
      </c>
      <c r="I398" s="3" t="n">
        <v>0.7810527336930798</v>
      </c>
      <c r="J398" t="n">
        <v>89.3</v>
      </c>
      <c r="K398">
        <f>IF(IFERROR(INDEX(Spots!$K$2:$K$96,MATCH(A398,Spots!$A$2:$A$96,0)),"")="","",IFERROR(INDEX(Spots!$K$2:$K$96,MATCH(A398,Spots!$A$2:$A$96,0)),""))</f>
        <v/>
      </c>
      <c r="L398" s="3">
        <f>IF(OR(K398="",F398=""),"",F398/1000*K398*100)</f>
        <v/>
      </c>
      <c r="M398">
        <f>IF(OR(L398="",L398=0),"",ROUND(100/L398,0))</f>
        <v/>
      </c>
      <c r="N398" t="inlineStr">
        <is>
          <t>low sample</t>
        </is>
      </c>
    </row>
    <row r="399">
      <c r="A399" t="n">
        <v>82</v>
      </c>
      <c r="B399" t="inlineStr">
        <is>
          <t>Desert Naga Temple</t>
        </is>
      </c>
      <c r="C399" t="inlineStr">
        <is>
          <t>Mass of Pure Magic</t>
        </is>
      </c>
      <c r="D399" t="n">
        <v>1.144085</v>
      </c>
      <c r="E399" t="n">
        <v>3735.8</v>
      </c>
      <c r="F399" s="3" t="n">
        <v>0.30624899619894</v>
      </c>
      <c r="G399" t="n">
        <v>3265</v>
      </c>
      <c r="H399" s="3" t="n">
        <v>0.2216775988168549</v>
      </c>
      <c r="I399" s="3" t="n">
        <v>0.4124217939482052</v>
      </c>
      <c r="J399" t="n">
        <v>43.1</v>
      </c>
      <c r="K399">
        <f>IF(IFERROR(INDEX(Spots!$K$2:$K$96,MATCH(A399,Spots!$A$2:$A$96,0)),"")="","",IFERROR(INDEX(Spots!$K$2:$K$96,MATCH(A399,Spots!$A$2:$A$96,0)),""))</f>
        <v/>
      </c>
      <c r="L399" s="3">
        <f>IF(OR(K399="",F399=""),"",F399/1000*K399*100)</f>
        <v/>
      </c>
      <c r="M399">
        <f>IF(OR(L399="",L399=0),"",ROUND(100/L399,0))</f>
        <v/>
      </c>
      <c r="N399" t="inlineStr">
        <is>
          <t>low sample</t>
        </is>
      </c>
    </row>
    <row r="400">
      <c r="A400" t="n">
        <v>82</v>
      </c>
      <c r="B400" t="inlineStr">
        <is>
          <t>Desert Naga Temple</t>
        </is>
      </c>
      <c r="C400" t="inlineStr">
        <is>
          <t>Yona's Fragment</t>
        </is>
      </c>
      <c r="D400" t="n">
        <v>1.115974</v>
      </c>
      <c r="E400" t="n">
        <v>3735.8</v>
      </c>
      <c r="F400" s="3" t="n">
        <v>0.298724235772793</v>
      </c>
      <c r="G400" t="n">
        <v>3348</v>
      </c>
      <c r="H400" s="3" t="n">
        <v>0.2152850778887857</v>
      </c>
      <c r="I400" s="3" t="n">
        <v>0.4037770675858886</v>
      </c>
      <c r="J400" t="n">
        <v>42</v>
      </c>
      <c r="K400">
        <f>IF(IFERROR(INDEX(Spots!$K$2:$K$96,MATCH(A400,Spots!$A$2:$A$96,0)),"")="","",IFERROR(INDEX(Spots!$K$2:$K$96,MATCH(A400,Spots!$A$2:$A$96,0)),""))</f>
        <v/>
      </c>
      <c r="L400" s="3">
        <f>IF(OR(K400="",F400=""),"",F400/1000*K400*100)</f>
        <v/>
      </c>
      <c r="M400">
        <f>IF(OR(L400="",L400=0),"",ROUND(100/L400,0))</f>
        <v/>
      </c>
      <c r="N400" t="inlineStr">
        <is>
          <t>low sample</t>
        </is>
      </c>
    </row>
    <row r="401">
      <c r="A401" t="n">
        <v>82</v>
      </c>
      <c r="B401" t="inlineStr">
        <is>
          <t>Desert Naga Temple</t>
        </is>
      </c>
      <c r="C401" t="inlineStr">
        <is>
          <t>Atanis' Element</t>
        </is>
      </c>
      <c r="D401" t="n">
        <v>0.8213013300000001</v>
      </c>
      <c r="E401" t="n">
        <v>3735.8</v>
      </c>
      <c r="F401" s="3" t="n">
        <v>0.2198461721719578</v>
      </c>
      <c r="G401" t="n">
        <v>4549</v>
      </c>
      <c r="H401" s="3" t="n">
        <v>0.1492663923976725</v>
      </c>
      <c r="I401" s="3" t="n">
        <v>0.3122027407748175</v>
      </c>
      <c r="J401" t="n">
        <v>30.9</v>
      </c>
      <c r="K401">
        <f>IF(IFERROR(INDEX(Spots!$K$2:$K$96,MATCH(A401,Spots!$A$2:$A$96,0)),"")="","",IFERROR(INDEX(Spots!$K$2:$K$96,MATCH(A401,Spots!$A$2:$A$96,0)),""))</f>
        <v/>
      </c>
      <c r="L401" s="3">
        <f>IF(OR(K401="",F401=""),"",F401/1000*K401*100)</f>
        <v/>
      </c>
      <c r="M401">
        <f>IF(OR(L401="",L401=0),"",ROUND(100/L401,0))</f>
        <v/>
      </c>
      <c r="N401" t="inlineStr">
        <is>
          <t>low sample</t>
        </is>
      </c>
    </row>
    <row r="402">
      <c r="A402" t="n">
        <v>82</v>
      </c>
      <c r="B402" t="inlineStr">
        <is>
          <t>Desert Naga Temple</t>
        </is>
      </c>
      <c r="C402" t="inlineStr">
        <is>
          <t>Imperfect Lightstone of Fire</t>
        </is>
      </c>
      <c r="D402" t="n">
        <v>0.70959169</v>
      </c>
      <c r="E402" t="n">
        <v>3735.8</v>
      </c>
      <c r="F402" s="3" t="n">
        <v>0.1899437041597516</v>
      </c>
      <c r="G402" t="n">
        <v>5265</v>
      </c>
      <c r="H402" s="3" t="n">
        <v>0.1248374502867957</v>
      </c>
      <c r="I402" s="3" t="n">
        <v>0.2769127245523108</v>
      </c>
      <c r="J402" t="n">
        <v>26.7</v>
      </c>
      <c r="K402">
        <f>IF(IFERROR(INDEX(Spots!$K$2:$K$96,MATCH(A402,Spots!$A$2:$A$96,0)),"")="","",IFERROR(INDEX(Spots!$K$2:$K$96,MATCH(A402,Spots!$A$2:$A$96,0)),""))</f>
        <v/>
      </c>
      <c r="L402" s="3">
        <f>IF(OR(K402="",F402=""),"",F402/1000*K402*100)</f>
        <v/>
      </c>
      <c r="M402">
        <f>IF(OR(L402="",L402=0),"",ROUND(100/L402,0))</f>
        <v/>
      </c>
      <c r="N402" t="inlineStr">
        <is>
          <t>low sample</t>
        </is>
      </c>
    </row>
    <row r="403">
      <c r="A403" t="n">
        <v>82</v>
      </c>
      <c r="B403" t="inlineStr">
        <is>
          <t>Desert Naga Temple</t>
        </is>
      </c>
      <c r="C403" t="inlineStr">
        <is>
          <t>Serap's Necklace</t>
        </is>
      </c>
      <c r="D403" t="n">
        <v>0.47628178</v>
      </c>
      <c r="E403" t="n">
        <v>3735.8</v>
      </c>
      <c r="F403" s="3" t="n">
        <v>0.127491241501151</v>
      </c>
      <c r="G403" t="n">
        <v>7844</v>
      </c>
      <c r="H403" s="3" t="n">
        <v>0.07543509009897853</v>
      </c>
      <c r="I403" s="3" t="n">
        <v>0.2016743179651072</v>
      </c>
      <c r="J403" t="n">
        <v>17.9</v>
      </c>
      <c r="K403">
        <f>IF(IFERROR(INDEX(Spots!$K$2:$K$96,MATCH(A403,Spots!$A$2:$A$96,0)),"")="","",IFERROR(INDEX(Spots!$K$2:$K$96,MATCH(A403,Spots!$A$2:$A$96,0)),""))</f>
        <v/>
      </c>
      <c r="L403" s="3">
        <f>IF(OR(K403="",F403=""),"",F403/1000*K403*100)</f>
        <v/>
      </c>
      <c r="M403">
        <f>IF(OR(L403="",L403=0),"",ROUND(100/L403,0))</f>
        <v/>
      </c>
      <c r="N403" t="inlineStr">
        <is>
          <t>low sample</t>
        </is>
      </c>
    </row>
    <row r="404">
      <c r="A404" t="n">
        <v>82</v>
      </c>
      <c r="B404" t="inlineStr">
        <is>
          <t>Desert Naga Temple</t>
        </is>
      </c>
      <c r="C404" t="inlineStr">
        <is>
          <t>Traveler's Map</t>
        </is>
      </c>
      <c r="D404" t="n">
        <v>0.34971583</v>
      </c>
      <c r="E404" t="n">
        <v>3735.8</v>
      </c>
      <c r="F404" s="3" t="n">
        <v>0.09361203222870602</v>
      </c>
      <c r="G404" t="n">
        <v>10682</v>
      </c>
      <c r="H404" s="3" t="n">
        <v>0.05002813361347631</v>
      </c>
      <c r="I404" s="3" t="n">
        <v>0.1595601833011038</v>
      </c>
      <c r="J404" t="n">
        <v>13.2</v>
      </c>
      <c r="K404">
        <f>IF(IFERROR(INDEX(Spots!$K$2:$K$96,MATCH(A404,Spots!$A$2:$A$96,0)),"")="","",IFERROR(INDEX(Spots!$K$2:$K$96,MATCH(A404,Spots!$A$2:$A$96,0)),""))</f>
        <v/>
      </c>
      <c r="L404" s="3">
        <f>IF(OR(K404="",F404=""),"",F404/1000*K404*100)</f>
        <v/>
      </c>
      <c r="M404">
        <f>IF(OR(L404="",L404=0),"",ROUND(100/L404,0))</f>
        <v/>
      </c>
      <c r="N404" t="inlineStr">
        <is>
          <t>low sample</t>
        </is>
      </c>
    </row>
    <row r="405">
      <c r="A405" t="n">
        <v>82</v>
      </c>
      <c r="B405" t="inlineStr">
        <is>
          <t>Desert Naga Temple</t>
        </is>
      </c>
      <c r="C405" t="inlineStr">
        <is>
          <t>Any Artifact</t>
        </is>
      </c>
      <c r="D405" t="n">
        <v>0.28893551</v>
      </c>
      <c r="E405" t="n">
        <v>3735.8</v>
      </c>
      <c r="F405" s="3" t="n">
        <v>0.07734233899030998</v>
      </c>
      <c r="G405" t="n">
        <v>12930</v>
      </c>
      <c r="H405" s="3" t="n">
        <v>0.0383796349553891</v>
      </c>
      <c r="I405" s="3" t="n">
        <v>0.1388314260120604</v>
      </c>
      <c r="J405" t="n">
        <v>10.9</v>
      </c>
      <c r="K405">
        <f>IF(IFERROR(INDEX(Spots!$K$2:$K$96,MATCH(A405,Spots!$A$2:$A$96,0)),"")="","",IFERROR(INDEX(Spots!$K$2:$K$96,MATCH(A405,Spots!$A$2:$A$96,0)),""))</f>
        <v/>
      </c>
      <c r="L405" s="3">
        <f>IF(OR(K405="",F405=""),"",F405/1000*K405*100)</f>
        <v/>
      </c>
      <c r="M405">
        <f>IF(OR(L405="",L405=0),"",ROUND(100/L405,0))</f>
        <v/>
      </c>
      <c r="N405" t="inlineStr">
        <is>
          <t>low sample</t>
        </is>
      </c>
    </row>
    <row r="406">
      <c r="A406" t="n">
        <v>82</v>
      </c>
      <c r="B406" t="inlineStr">
        <is>
          <t>Desert Naga Temple</t>
        </is>
      </c>
      <c r="C406" t="inlineStr">
        <is>
          <t>Imperfect Lightstone of Earth</t>
        </is>
      </c>
      <c r="D406" t="n">
        <v>0.10543166</v>
      </c>
      <c r="E406" t="n">
        <v>3735.8</v>
      </c>
      <c r="F406" s="3" t="n">
        <v>0.02822197655120724</v>
      </c>
      <c r="G406" t="n">
        <v>35433</v>
      </c>
      <c r="H406" s="3" t="n">
        <v>0.007540955140248612</v>
      </c>
      <c r="I406" s="3" t="n">
        <v>0.07249530885992339</v>
      </c>
      <c r="J406" t="n">
        <v>4</v>
      </c>
      <c r="K406">
        <f>IF(IFERROR(INDEX(Spots!$K$2:$K$96,MATCH(A406,Spots!$A$2:$A$96,0)),"")="","",IFERROR(INDEX(Spots!$K$2:$K$96,MATCH(A406,Spots!$A$2:$A$96,0)),""))</f>
        <v/>
      </c>
      <c r="L406" s="3">
        <f>IF(OR(K406="",F406=""),"",F406/1000*K406*100)</f>
        <v/>
      </c>
      <c r="M406">
        <f>IF(OR(L406="",L406=0),"",ROUND(100/L406,0))</f>
        <v/>
      </c>
      <c r="N406" t="inlineStr">
        <is>
          <t>low sample</t>
        </is>
      </c>
    </row>
    <row r="407">
      <c r="A407" t="n">
        <v>82</v>
      </c>
      <c r="B407" t="inlineStr">
        <is>
          <t>Desert Naga Temple</t>
        </is>
      </c>
      <c r="C407" t="inlineStr">
        <is>
          <t>Imperfect Lightstone of Wind</t>
        </is>
      </c>
      <c r="D407" t="n">
        <v>0.09802568</v>
      </c>
      <c r="E407" t="n">
        <v>3735.8</v>
      </c>
      <c r="F407" s="3" t="n">
        <v>0.02623954173135607</v>
      </c>
      <c r="G407" t="n">
        <v>38110</v>
      </c>
      <c r="H407" s="3" t="n">
        <v>0.006555278170314111</v>
      </c>
      <c r="I407" s="3" t="n">
        <v>0.06960655935591731</v>
      </c>
      <c r="J407" t="n">
        <v>3.7</v>
      </c>
      <c r="K407">
        <f>IF(IFERROR(INDEX(Spots!$K$2:$K$96,MATCH(A407,Spots!$A$2:$A$96,0)),"")="","",IFERROR(INDEX(Spots!$K$2:$K$96,MATCH(A407,Spots!$A$2:$A$96,0)),""))</f>
        <v/>
      </c>
      <c r="L407" s="3">
        <f>IF(OR(K407="",F407=""),"",F407/1000*K407*100)</f>
        <v/>
      </c>
      <c r="M407">
        <f>IF(OR(L407="",L407=0),"",ROUND(100/L407,0))</f>
        <v/>
      </c>
      <c r="N407" t="inlineStr">
        <is>
          <t>low sample</t>
        </is>
      </c>
    </row>
    <row r="408">
      <c r="A408" t="n">
        <v>82</v>
      </c>
      <c r="B408" t="inlineStr">
        <is>
          <t>Desert Naga Temple</t>
        </is>
      </c>
      <c r="C408" t="inlineStr">
        <is>
          <t>Specter's Energy</t>
        </is>
      </c>
      <c r="D408" t="n">
        <v>0.01118332</v>
      </c>
      <c r="E408" t="n">
        <v>3735.8</v>
      </c>
      <c r="F408" s="3" t="n">
        <v>0.002993554258793297</v>
      </c>
      <c r="G408" t="n">
        <v>334051</v>
      </c>
      <c r="H408" s="3" t="n">
        <v>0</v>
      </c>
      <c r="I408" s="3" t="n">
        <v>0.03208489842617615</v>
      </c>
      <c r="J408" t="n">
        <v>0.4</v>
      </c>
      <c r="K408">
        <f>IF(IFERROR(INDEX(Spots!$K$2:$K$96,MATCH(A408,Spots!$A$2:$A$96,0)),"")="","",IFERROR(INDEX(Spots!$K$2:$K$96,MATCH(A408,Spots!$A$2:$A$96,0)),""))</f>
        <v/>
      </c>
      <c r="L408" s="3">
        <f>IF(OR(K408="",F408=""),"",F408/1000*K408*100)</f>
        <v/>
      </c>
      <c r="M408">
        <f>IF(OR(L408="",L408=0),"",ROUND(100/L408,0))</f>
        <v/>
      </c>
      <c r="N408" t="inlineStr">
        <is>
          <t>low sample</t>
        </is>
      </c>
    </row>
    <row r="409">
      <c r="A409" t="n">
        <v>82</v>
      </c>
      <c r="B409" t="inlineStr">
        <is>
          <t>Desert Naga Temple</t>
        </is>
      </c>
      <c r="C409" t="inlineStr">
        <is>
          <t>Great Marni's Stone (Desert Naga)</t>
        </is>
      </c>
      <c r="D409" t="n">
        <v>0.00647814</v>
      </c>
      <c r="E409" t="n">
        <v>3735.8</v>
      </c>
      <c r="F409" s="3" t="n">
        <v>0.001734070346378286</v>
      </c>
      <c r="G409" t="n">
        <v>576678</v>
      </c>
      <c r="H409" s="3" t="n">
        <v>0</v>
      </c>
      <c r="I409" s="3" t="n">
        <v>0.02963720876938546</v>
      </c>
      <c r="J409" t="n">
        <v>0.2</v>
      </c>
      <c r="K409">
        <f>IF(IFERROR(INDEX(Spots!$K$2:$K$96,MATCH(A409,Spots!$A$2:$A$96,0)),"")="","",IFERROR(INDEX(Spots!$K$2:$K$96,MATCH(A409,Spots!$A$2:$A$96,0)),""))</f>
        <v/>
      </c>
      <c r="L409" s="3">
        <f>IF(OR(K409="",F409=""),"",F409/1000*K409*100)</f>
        <v/>
      </c>
      <c r="M409">
        <f>IF(OR(L409="",L409=0),"",ROUND(100/L409,0))</f>
        <v/>
      </c>
      <c r="N409" t="inlineStr">
        <is>
          <t>low sample</t>
        </is>
      </c>
    </row>
    <row r="410">
      <c r="A410" t="n">
        <v>166</v>
      </c>
      <c r="B410" t="inlineStr">
        <is>
          <t>Dokkebi Forest</t>
        </is>
      </c>
      <c r="C410" t="inlineStr">
        <is>
          <t>Ancient Spirit Dust</t>
        </is>
      </c>
      <c r="D410" t="n">
        <v>36.382</v>
      </c>
      <c r="E410" t="n">
        <v>8387.6</v>
      </c>
      <c r="F410" s="3" t="n">
        <v>4.337593590538413</v>
      </c>
      <c r="G410" t="n">
        <v>231</v>
      </c>
      <c r="H410" s="3" t="n">
        <v>4.291717438320246</v>
      </c>
      <c r="I410" s="3" t="n">
        <v>4.383837906859661</v>
      </c>
      <c r="J410" t="n">
        <v>34163.3</v>
      </c>
      <c r="K410">
        <f>IF(IFERROR(INDEX(Spots!$K$2:$K$96,MATCH(A410,Spots!$A$2:$A$96,0)),"")="","",IFERROR(INDEX(Spots!$K$2:$K$96,MATCH(A410,Spots!$A$2:$A$96,0)),""))</f>
        <v/>
      </c>
      <c r="L410" s="3">
        <f>IF(OR(K410="",F410=""),"",F410/1000*K410*100)</f>
        <v/>
      </c>
      <c r="M410">
        <f>IF(OR(L410="",L410=0),"",ROUND(100/L410,0))</f>
        <v/>
      </c>
      <c r="N410" t="inlineStr"/>
    </row>
    <row r="411">
      <c r="A411" t="n">
        <v>166</v>
      </c>
      <c r="B411" t="inlineStr">
        <is>
          <t>Dokkebi Forest</t>
        </is>
      </c>
      <c r="C411" t="inlineStr">
        <is>
          <t>Black Stone</t>
        </is>
      </c>
      <c r="D411" t="n">
        <v>21.706</v>
      </c>
      <c r="E411" t="n">
        <v>8387.6</v>
      </c>
      <c r="F411" s="3" t="n">
        <v>2.587867804854786</v>
      </c>
      <c r="G411" t="n">
        <v>386</v>
      </c>
      <c r="H411" s="3" t="n">
        <v>2.552460136698229</v>
      </c>
      <c r="I411" s="3" t="n">
        <v>2.62364383493791</v>
      </c>
      <c r="J411" t="n">
        <v>20382.3</v>
      </c>
      <c r="K411">
        <f>IF(IFERROR(INDEX(Spots!$K$2:$K$96,MATCH(A411,Spots!$A$2:$A$96,0)),"")="","",IFERROR(INDEX(Spots!$K$2:$K$96,MATCH(A411,Spots!$A$2:$A$96,0)),""))</f>
        <v/>
      </c>
      <c r="L411" s="3">
        <f>IF(OR(K411="",F411=""),"",F411/1000*K411*100)</f>
        <v/>
      </c>
      <c r="M411">
        <f>IF(OR(L411="",L411=0),"",ROUND(100/L411,0))</f>
        <v/>
      </c>
      <c r="N411" t="inlineStr"/>
    </row>
    <row r="412">
      <c r="A412" t="n">
        <v>166</v>
      </c>
      <c r="B412" t="inlineStr">
        <is>
          <t>Dokkebi Forest</t>
        </is>
      </c>
      <c r="C412" t="inlineStr">
        <is>
          <t>Caphras Stone</t>
        </is>
      </c>
      <c r="D412" t="n">
        <v>13.218</v>
      </c>
      <c r="E412" t="n">
        <v>8387.6</v>
      </c>
      <c r="F412" s="3" t="n">
        <v>1.575897753827078</v>
      </c>
      <c r="G412" t="n">
        <v>635</v>
      </c>
      <c r="H412" s="3" t="n">
        <v>1.548293638959216</v>
      </c>
      <c r="I412" s="3" t="n">
        <v>1.603870475080936</v>
      </c>
      <c r="J412" t="n">
        <v>12411.9</v>
      </c>
      <c r="K412">
        <f>IF(IFERROR(INDEX(Spots!$K$2:$K$96,MATCH(A412,Spots!$A$2:$A$96,0)),"")="","",IFERROR(INDEX(Spots!$K$2:$K$96,MATCH(A412,Spots!$A$2:$A$96,0)),""))</f>
        <v/>
      </c>
      <c r="L412" s="3">
        <f>IF(OR(K412="",F412=""),"",F412/1000*K412*100)</f>
        <v/>
      </c>
      <c r="M412">
        <f>IF(OR(L412="",L412=0),"",ROUND(100/L412,0))</f>
        <v/>
      </c>
      <c r="N412" t="inlineStr"/>
    </row>
    <row r="413">
      <c r="A413" t="n">
        <v>166</v>
      </c>
      <c r="B413" t="inlineStr">
        <is>
          <t>Dokkebi Forest</t>
        </is>
      </c>
      <c r="C413" t="inlineStr">
        <is>
          <t>WON Dawn Crystal - All AP</t>
        </is>
      </c>
      <c r="D413" t="n">
        <v>2.208229</v>
      </c>
      <c r="E413" t="n">
        <v>8387.6</v>
      </c>
      <c r="F413" s="3" t="n">
        <v>0.2632730459249368</v>
      </c>
      <c r="G413" t="n">
        <v>3798</v>
      </c>
      <c r="H413" s="3" t="n">
        <v>0.2520618120394804</v>
      </c>
      <c r="I413" s="3" t="n">
        <v>0.274854490879514</v>
      </c>
      <c r="J413" t="n">
        <v>2073.6</v>
      </c>
      <c r="K413">
        <f>IF(IFERROR(INDEX(Spots!$K$2:$K$96,MATCH(A413,Spots!$A$2:$A$96,0)),"")="","",IFERROR(INDEX(Spots!$K$2:$K$96,MATCH(A413,Spots!$A$2:$A$96,0)),""))</f>
        <v/>
      </c>
      <c r="L413" s="3">
        <f>IF(OR(K413="",F413=""),"",F413/1000*K413*100)</f>
        <v/>
      </c>
      <c r="M413">
        <f>IF(OR(L413="",L413=0),"",ROUND(100/L413,0))</f>
        <v/>
      </c>
      <c r="N413" t="inlineStr"/>
    </row>
    <row r="414">
      <c r="A414" t="n">
        <v>166</v>
      </c>
      <c r="B414" t="inlineStr">
        <is>
          <t>Dokkebi Forest</t>
        </is>
      </c>
      <c r="C414" t="inlineStr">
        <is>
          <t>WON Dawn Crystal - Black Spirit's Rage</t>
        </is>
      </c>
      <c r="D414" t="n">
        <v>0.29934538</v>
      </c>
      <c r="E414" t="n">
        <v>8387.6</v>
      </c>
      <c r="F414" s="3" t="n">
        <v>0.03568903858076208</v>
      </c>
      <c r="G414" t="n">
        <v>28020</v>
      </c>
      <c r="H414" s="3" t="n">
        <v>0.03163821199195114</v>
      </c>
      <c r="I414" s="3" t="n">
        <v>0.0401146789801911</v>
      </c>
      <c r="J414" t="n">
        <v>281.1</v>
      </c>
      <c r="K414">
        <f>IF(IFERROR(INDEX(Spots!$K$2:$K$96,MATCH(A414,Spots!$A$2:$A$96,0)),"")="","",IFERROR(INDEX(Spots!$K$2:$K$96,MATCH(A414,Spots!$A$2:$A$96,0)),""))</f>
        <v/>
      </c>
      <c r="L414" s="3">
        <f>IF(OR(K414="",F414=""),"",F414/1000*K414*100)</f>
        <v/>
      </c>
      <c r="M414">
        <f>IF(OR(L414="",L414=0),"",ROUND(100/L414,0))</f>
        <v/>
      </c>
      <c r="N414" t="inlineStr"/>
    </row>
    <row r="415">
      <c r="A415" t="n">
        <v>166</v>
      </c>
      <c r="B415" t="inlineStr">
        <is>
          <t>Dokkebi Forest</t>
        </is>
      </c>
      <c r="C415" t="inlineStr">
        <is>
          <t>WON Dawn Crystal - Evasion</t>
        </is>
      </c>
      <c r="D415" t="n">
        <v>0.29564331</v>
      </c>
      <c r="E415" t="n">
        <v>8387.6</v>
      </c>
      <c r="F415" s="3" t="n">
        <v>0.03524766440936621</v>
      </c>
      <c r="G415" t="n">
        <v>28371</v>
      </c>
      <c r="H415" s="3" t="n">
        <v>0.03122272430984042</v>
      </c>
      <c r="I415" s="3" t="n">
        <v>0.03964746337037479</v>
      </c>
      <c r="J415" t="n">
        <v>277.6</v>
      </c>
      <c r="K415">
        <f>IF(IFERROR(INDEX(Spots!$K$2:$K$96,MATCH(A415,Spots!$A$2:$A$96,0)),"")="","",IFERROR(INDEX(Spots!$K$2:$K$96,MATCH(A415,Spots!$A$2:$A$96,0)),""))</f>
        <v/>
      </c>
      <c r="L415" s="3">
        <f>IF(OR(K415="",F415=""),"",F415/1000*K415*100)</f>
        <v/>
      </c>
      <c r="M415">
        <f>IF(OR(L415="",L415=0),"",ROUND(100/L415,0))</f>
        <v/>
      </c>
      <c r="N415" t="inlineStr"/>
    </row>
    <row r="416">
      <c r="A416" t="n">
        <v>166</v>
      </c>
      <c r="B416" t="inlineStr">
        <is>
          <t>Dokkebi Forest</t>
        </is>
      </c>
      <c r="C416" t="inlineStr">
        <is>
          <t>WON Dawn Crystal - Damage Reduction</t>
        </is>
      </c>
      <c r="D416" t="n">
        <v>0.28977757</v>
      </c>
      <c r="E416" t="n">
        <v>8387.6</v>
      </c>
      <c r="F416" s="3" t="n">
        <v>0.03454832967714245</v>
      </c>
      <c r="G416" t="n">
        <v>28945</v>
      </c>
      <c r="H416" s="3" t="n">
        <v>0.0305647396923785</v>
      </c>
      <c r="I416" s="3" t="n">
        <v>0.03890685164617983</v>
      </c>
      <c r="J416" t="n">
        <v>272.1</v>
      </c>
      <c r="K416">
        <f>IF(IFERROR(INDEX(Spots!$K$2:$K$96,MATCH(A416,Spots!$A$2:$A$96,0)),"")="","",IFERROR(INDEX(Spots!$K$2:$K$96,MATCH(A416,Spots!$A$2:$A$96,0)),""))</f>
        <v/>
      </c>
      <c r="L416" s="3">
        <f>IF(OR(K416="",F416=""),"",F416/1000*K416*100)</f>
        <v/>
      </c>
      <c r="M416">
        <f>IF(OR(L416="",L416=0),"",ROUND(100/L416,0))</f>
        <v/>
      </c>
      <c r="N416" t="inlineStr"/>
    </row>
    <row r="417">
      <c r="A417" t="n">
        <v>166</v>
      </c>
      <c r="B417" t="inlineStr">
        <is>
          <t>Dokkebi Forest</t>
        </is>
      </c>
      <c r="C417" t="inlineStr">
        <is>
          <t>WON Dawn Crystal - Accuracy</t>
        </is>
      </c>
      <c r="D417" t="n">
        <v>0.28958528</v>
      </c>
      <c r="E417" t="n">
        <v>8387.6</v>
      </c>
      <c r="F417" s="3" t="n">
        <v>0.03452540416805761</v>
      </c>
      <c r="G417" t="n">
        <v>28964</v>
      </c>
      <c r="H417" s="3" t="n">
        <v>0.03054317677297949</v>
      </c>
      <c r="I417" s="3" t="n">
        <v>0.03888256598167445</v>
      </c>
      <c r="J417" t="n">
        <v>271.9</v>
      </c>
      <c r="K417">
        <f>IF(IFERROR(INDEX(Spots!$K$2:$K$96,MATCH(A417,Spots!$A$2:$A$96,0)),"")="","",IFERROR(INDEX(Spots!$K$2:$K$96,MATCH(A417,Spots!$A$2:$A$96,0)),""))</f>
        <v/>
      </c>
      <c r="L417" s="3">
        <f>IF(OR(K417="",F417=""),"",F417/1000*K417*100)</f>
        <v/>
      </c>
      <c r="M417">
        <f>IF(OR(L417="",L417=0),"",ROUND(100/L417,0))</f>
        <v/>
      </c>
      <c r="N417" t="inlineStr"/>
    </row>
    <row r="418">
      <c r="A418" t="n">
        <v>166</v>
      </c>
      <c r="B418" t="inlineStr">
        <is>
          <t>Dokkebi Forest</t>
        </is>
      </c>
      <c r="C418" t="inlineStr">
        <is>
          <t>BON Dawn Crystal - All AP</t>
        </is>
      </c>
      <c r="D418" t="n">
        <v>0.01011307</v>
      </c>
      <c r="E418" t="n">
        <v>8387.6</v>
      </c>
      <c r="F418" s="3" t="n">
        <v>0.001205716772378273</v>
      </c>
      <c r="G418" t="n">
        <v>829382</v>
      </c>
      <c r="H418" s="3" t="n">
        <v>0.0005640483433522157</v>
      </c>
      <c r="I418" s="3" t="n">
        <v>0.0022518606092392</v>
      </c>
      <c r="J418" t="n">
        <v>9.5</v>
      </c>
      <c r="K418">
        <f>IF(IFERROR(INDEX(Spots!$K$2:$K$96,MATCH(A418,Spots!$A$2:$A$96,0)),"")="","",IFERROR(INDEX(Spots!$K$2:$K$96,MATCH(A418,Spots!$A$2:$A$96,0)),""))</f>
        <v/>
      </c>
      <c r="L418" s="3">
        <f>IF(OR(K418="",F418=""),"",F418/1000*K418*100)</f>
        <v/>
      </c>
      <c r="M418">
        <f>IF(OR(L418="",L418=0),"",ROUND(100/L418,0))</f>
        <v/>
      </c>
      <c r="N418" t="inlineStr">
        <is>
          <t>low sample</t>
        </is>
      </c>
    </row>
    <row r="419">
      <c r="A419" t="n">
        <v>166</v>
      </c>
      <c r="B419" t="inlineStr">
        <is>
          <t>Dokkebi Forest</t>
        </is>
      </c>
      <c r="C419" t="inlineStr">
        <is>
          <t>BON Dawn Crystal - Accuracy</t>
        </is>
      </c>
      <c r="D419" t="n">
        <v>0.0082799</v>
      </c>
      <c r="E419" t="n">
        <v>8387.6</v>
      </c>
      <c r="F419" s="3" t="n">
        <v>0.0009871596165768515</v>
      </c>
      <c r="G419" t="n">
        <v>1013007</v>
      </c>
      <c r="H419" s="3" t="n">
        <v>0.0004187976997207304</v>
      </c>
      <c r="I419" s="3" t="n">
        <v>0.001963436274810247</v>
      </c>
      <c r="J419" t="n">
        <v>7.8</v>
      </c>
      <c r="K419">
        <f>IF(IFERROR(INDEX(Spots!$K$2:$K$96,MATCH(A419,Spots!$A$2:$A$96,0)),"")="","",IFERROR(INDEX(Spots!$K$2:$K$96,MATCH(A419,Spots!$A$2:$A$96,0)),""))</f>
        <v/>
      </c>
      <c r="L419" s="3">
        <f>IF(OR(K419="",F419=""),"",F419/1000*K419*100)</f>
        <v/>
      </c>
      <c r="M419">
        <f>IF(OR(L419="",L419=0),"",ROUND(100/L419,0))</f>
        <v/>
      </c>
      <c r="N419" t="inlineStr">
        <is>
          <t>low sample</t>
        </is>
      </c>
    </row>
    <row r="420">
      <c r="A420" t="n">
        <v>166</v>
      </c>
      <c r="B420" t="inlineStr">
        <is>
          <t>Dokkebi Forest</t>
        </is>
      </c>
      <c r="C420" t="inlineStr">
        <is>
          <t>BON Dawn Crystal - Evasion</t>
        </is>
      </c>
      <c r="D420" t="n">
        <v>0.00760559</v>
      </c>
      <c r="E420" t="n">
        <v>8387.6</v>
      </c>
      <c r="F420" s="3" t="n">
        <v>0.0009067659401974343</v>
      </c>
      <c r="G420" t="n">
        <v>1102820</v>
      </c>
      <c r="H420" s="3" t="n">
        <v>0.0003673965985998222</v>
      </c>
      <c r="I420" s="3" t="n">
        <v>0.001855587131398367</v>
      </c>
      <c r="J420" t="n">
        <v>7.1</v>
      </c>
      <c r="K420">
        <f>IF(IFERROR(INDEX(Spots!$K$2:$K$96,MATCH(A420,Spots!$A$2:$A$96,0)),"")="","",IFERROR(INDEX(Spots!$K$2:$K$96,MATCH(A420,Spots!$A$2:$A$96,0)),""))</f>
        <v/>
      </c>
      <c r="L420" s="3">
        <f>IF(OR(K420="",F420=""),"",F420/1000*K420*100)</f>
        <v/>
      </c>
      <c r="M420">
        <f>IF(OR(L420="",L420=0),"",ROUND(100/L420,0))</f>
        <v/>
      </c>
      <c r="N420" t="inlineStr">
        <is>
          <t>low sample</t>
        </is>
      </c>
    </row>
    <row r="421">
      <c r="A421" t="n">
        <v>166</v>
      </c>
      <c r="B421" t="inlineStr">
        <is>
          <t>Dokkebi Forest</t>
        </is>
      </c>
      <c r="C421" t="inlineStr">
        <is>
          <t>BON Dawn Crystal - Damage Reduction</t>
        </is>
      </c>
      <c r="D421" t="n">
        <v>0.00687008</v>
      </c>
      <c r="E421" t="n">
        <v>8387.6</v>
      </c>
      <c r="F421" s="3" t="n">
        <v>0.0008190757785302112</v>
      </c>
      <c r="G421" t="n">
        <v>1220888</v>
      </c>
      <c r="H421" s="3" t="n">
        <v>0.0003128415237094997</v>
      </c>
      <c r="I421" s="3" t="n">
        <v>0.00173666246272624</v>
      </c>
      <c r="J421" t="n">
        <v>6.5</v>
      </c>
      <c r="K421">
        <f>IF(IFERROR(INDEX(Spots!$K$2:$K$96,MATCH(A421,Spots!$A$2:$A$96,0)),"")="","",IFERROR(INDEX(Spots!$K$2:$K$96,MATCH(A421,Spots!$A$2:$A$96,0)),""))</f>
        <v/>
      </c>
      <c r="L421" s="3">
        <f>IF(OR(K421="",F421=""),"",F421/1000*K421*100)</f>
        <v/>
      </c>
      <c r="M421">
        <f>IF(OR(L421="",L421=0),"",ROUND(100/L421,0))</f>
        <v/>
      </c>
      <c r="N421" t="inlineStr">
        <is>
          <t>low sample</t>
        </is>
      </c>
    </row>
    <row r="422">
      <c r="A422" t="n">
        <v>166</v>
      </c>
      <c r="B422" t="inlineStr">
        <is>
          <t>Dokkebi Forest</t>
        </is>
      </c>
      <c r="C422" t="inlineStr">
        <is>
          <t>BON Dawn Crystal - Black Spirit's Rage</t>
        </is>
      </c>
      <c r="D422" t="n">
        <v>0.00542171</v>
      </c>
      <c r="E422" t="n">
        <v>8387.6</v>
      </c>
      <c r="F422" s="3" t="n">
        <v>0.0006463958700939482</v>
      </c>
      <c r="G422" t="n">
        <v>1547040</v>
      </c>
      <c r="H422" s="3" t="n">
        <v>0.0002110762597715412</v>
      </c>
      <c r="I422" s="3" t="n">
        <v>0.00149774517037732</v>
      </c>
      <c r="J422" t="n">
        <v>5.1</v>
      </c>
      <c r="K422">
        <f>IF(IFERROR(INDEX(Spots!$K$2:$K$96,MATCH(A422,Spots!$A$2:$A$96,0)),"")="","",IFERROR(INDEX(Spots!$K$2:$K$96,MATCH(A422,Spots!$A$2:$A$96,0)),""))</f>
        <v/>
      </c>
      <c r="L422" s="3">
        <f>IF(OR(K422="",F422=""),"",F422/1000*K422*100)</f>
        <v/>
      </c>
      <c r="M422">
        <f>IF(OR(L422="",L422=0),"",ROUND(100/L422,0))</f>
        <v/>
      </c>
      <c r="N422" t="inlineStr">
        <is>
          <t>low sample</t>
        </is>
      </c>
    </row>
    <row r="423">
      <c r="A423" t="n">
        <v>218</v>
      </c>
      <c r="B423" t="inlineStr">
        <is>
          <t>Event Horizon</t>
        </is>
      </c>
      <c r="C423" t="inlineStr">
        <is>
          <t>Ancient Spirit Dust</t>
        </is>
      </c>
      <c r="D423" t="n">
        <v>14.707</v>
      </c>
      <c r="E423" t="n">
        <v>6451</v>
      </c>
      <c r="F423" s="3" t="n">
        <v>2.279801581150209</v>
      </c>
      <c r="G423" t="n">
        <v>439</v>
      </c>
      <c r="H423" s="3" t="n">
        <v>2.271994690964676</v>
      </c>
      <c r="I423" s="3" t="n">
        <v>2.287628659506302</v>
      </c>
      <c r="J423" t="n">
        <v>327051.1</v>
      </c>
      <c r="K423">
        <f>IF(IFERROR(INDEX(Spots!$K$2:$K$96,MATCH(A423,Spots!$A$2:$A$96,0)),"")="","",IFERROR(INDEX(Spots!$K$2:$K$96,MATCH(A423,Spots!$A$2:$A$96,0)),""))</f>
        <v/>
      </c>
      <c r="L423" s="3">
        <f>IF(OR(K423="",F423=""),"",F423/1000*K423*100)</f>
        <v/>
      </c>
      <c r="M423">
        <f>IF(OR(L423="",L423=0),"",ROUND(100/L423,0))</f>
        <v/>
      </c>
      <c r="N423" t="inlineStr"/>
    </row>
    <row r="424">
      <c r="A424" t="n">
        <v>218</v>
      </c>
      <c r="B424" t="inlineStr">
        <is>
          <t>Event Horizon</t>
        </is>
      </c>
      <c r="C424" t="inlineStr">
        <is>
          <t>Black Stone</t>
        </is>
      </c>
      <c r="D424" t="n">
        <v>9.731291000000001</v>
      </c>
      <c r="E424" t="n">
        <v>6451</v>
      </c>
      <c r="F424" s="3" t="n">
        <v>1.508493411874128</v>
      </c>
      <c r="G424" t="n">
        <v>663</v>
      </c>
      <c r="H424" s="3" t="n">
        <v>1.502144241977114</v>
      </c>
      <c r="I424" s="3" t="n">
        <v>1.514862772679117</v>
      </c>
      <c r="J424" t="n">
        <v>216402.3</v>
      </c>
      <c r="K424">
        <f>IF(IFERROR(INDEX(Spots!$K$2:$K$96,MATCH(A424,Spots!$A$2:$A$96,0)),"")="","",IFERROR(INDEX(Spots!$K$2:$K$96,MATCH(A424,Spots!$A$2:$A$96,0)),""))</f>
        <v/>
      </c>
      <c r="L424" s="3">
        <f>IF(OR(K424="",F424=""),"",F424/1000*K424*100)</f>
        <v/>
      </c>
      <c r="M424">
        <f>IF(OR(L424="",L424=0),"",ROUND(100/L424,0))</f>
        <v/>
      </c>
      <c r="N424" t="inlineStr"/>
    </row>
    <row r="425">
      <c r="A425" t="n">
        <v>218</v>
      </c>
      <c r="B425" t="inlineStr">
        <is>
          <t>Event Horizon</t>
        </is>
      </c>
      <c r="C425" t="inlineStr">
        <is>
          <t>Caphras Stone</t>
        </is>
      </c>
      <c r="D425" t="n">
        <v>7.280529</v>
      </c>
      <c r="E425" t="n">
        <v>6451</v>
      </c>
      <c r="F425" s="3" t="n">
        <v>1.128589210975042</v>
      </c>
      <c r="G425" t="n">
        <v>886</v>
      </c>
      <c r="H425" s="3" t="n">
        <v>1.123098322583521</v>
      </c>
      <c r="I425" s="3" t="n">
        <v>1.134100292564921</v>
      </c>
      <c r="J425" t="n">
        <v>161902.8</v>
      </c>
      <c r="K425">
        <f>IF(IFERROR(INDEX(Spots!$K$2:$K$96,MATCH(A425,Spots!$A$2:$A$96,0)),"")="","",IFERROR(INDEX(Spots!$K$2:$K$96,MATCH(A425,Spots!$A$2:$A$96,0)),""))</f>
        <v/>
      </c>
      <c r="L425" s="3">
        <f>IF(OR(K425="",F425=""),"",F425/1000*K425*100)</f>
        <v/>
      </c>
      <c r="M425">
        <f>IF(OR(L425="",L425=0),"",ROUND(100/L425,0))</f>
        <v/>
      </c>
      <c r="N425" t="inlineStr"/>
    </row>
    <row r="426">
      <c r="A426" t="n">
        <v>218</v>
      </c>
      <c r="B426" t="inlineStr">
        <is>
          <t>Event Horizon</t>
        </is>
      </c>
      <c r="C426" t="inlineStr">
        <is>
          <t>HAN Origin Shard</t>
        </is>
      </c>
      <c r="D426" t="n">
        <v>0.81624463</v>
      </c>
      <c r="E426" t="n">
        <v>6451</v>
      </c>
      <c r="F426" s="3" t="n">
        <v>0.1265299379941094</v>
      </c>
      <c r="G426" t="n">
        <v>7903</v>
      </c>
      <c r="H426" s="3" t="n">
        <v>0.1246958045420563</v>
      </c>
      <c r="I426" s="3" t="n">
        <v>0.1283842982996317</v>
      </c>
      <c r="J426" t="n">
        <v>18151.5</v>
      </c>
      <c r="K426">
        <f>IF(IFERROR(INDEX(Spots!$K$2:$K$96,MATCH(A426,Spots!$A$2:$A$96,0)),"")="","",IFERROR(INDEX(Spots!$K$2:$K$96,MATCH(A426,Spots!$A$2:$A$96,0)),""))</f>
        <v/>
      </c>
      <c r="L426" s="3">
        <f>IF(OR(K426="",F426=""),"",F426/1000*K426*100)</f>
        <v/>
      </c>
      <c r="M426">
        <f>IF(OR(L426="",L426=0),"",ROUND(100/L426,0))</f>
        <v/>
      </c>
      <c r="N426" t="inlineStr"/>
    </row>
    <row r="427">
      <c r="A427" t="n">
        <v>218</v>
      </c>
      <c r="B427" t="inlineStr">
        <is>
          <t>Event Horizon</t>
        </is>
      </c>
      <c r="C427" t="inlineStr">
        <is>
          <t>Nev's Fragment</t>
        </is>
      </c>
      <c r="D427" t="n">
        <v>0.66411818</v>
      </c>
      <c r="E427" t="n">
        <v>6451</v>
      </c>
      <c r="F427" s="3" t="n">
        <v>0.1029480979693071</v>
      </c>
      <c r="G427" t="n">
        <v>9714</v>
      </c>
      <c r="H427" s="3" t="n">
        <v>0.1012943354680894</v>
      </c>
      <c r="I427" s="3" t="n">
        <v>0.104622092813512</v>
      </c>
      <c r="J427" t="n">
        <v>14768.5</v>
      </c>
      <c r="K427">
        <f>IF(IFERROR(INDEX(Spots!$K$2:$K$96,MATCH(A427,Spots!$A$2:$A$96,0)),"")="","",IFERROR(INDEX(Spots!$K$2:$K$96,MATCH(A427,Spots!$A$2:$A$96,0)),""))</f>
        <v/>
      </c>
      <c r="L427" s="3">
        <f>IF(OR(K427="",F427=""),"",F427/1000*K427*100)</f>
        <v/>
      </c>
      <c r="M427">
        <f>IF(OR(L427="",L427=0),"",ROUND(100/L427,0))</f>
        <v/>
      </c>
      <c r="N427" t="inlineStr"/>
    </row>
    <row r="428">
      <c r="A428" t="n">
        <v>218</v>
      </c>
      <c r="B428" t="inlineStr">
        <is>
          <t>Event Horizon</t>
        </is>
      </c>
      <c r="C428" t="inlineStr">
        <is>
          <t>Fusion Shard</t>
        </is>
      </c>
      <c r="D428" t="n">
        <v>0.43556282</v>
      </c>
      <c r="E428" t="n">
        <v>6451</v>
      </c>
      <c r="F428" s="3" t="n">
        <v>0.06751865137188033</v>
      </c>
      <c r="G428" t="n">
        <v>14811</v>
      </c>
      <c r="H428" s="3" t="n">
        <v>0.06618061689356451</v>
      </c>
      <c r="I428" s="3" t="n">
        <v>0.06887693133947272</v>
      </c>
      <c r="J428" t="n">
        <v>9686</v>
      </c>
      <c r="K428">
        <f>IF(IFERROR(INDEX(Spots!$K$2:$K$96,MATCH(A428,Spots!$A$2:$A$96,0)),"")="","",IFERROR(INDEX(Spots!$K$2:$K$96,MATCH(A428,Spots!$A$2:$A$96,0)),""))</f>
        <v/>
      </c>
      <c r="L428" s="3">
        <f>IF(OR(K428="",F428=""),"",F428/1000*K428*100)</f>
        <v/>
      </c>
      <c r="M428">
        <f>IF(OR(L428="",L428=0),"",ROUND(100/L428,0))</f>
        <v/>
      </c>
      <c r="N428" t="inlineStr"/>
    </row>
    <row r="429">
      <c r="A429" t="n">
        <v>218</v>
      </c>
      <c r="B429" t="inlineStr">
        <is>
          <t>Event Horizon</t>
        </is>
      </c>
      <c r="C429" t="inlineStr">
        <is>
          <t>Corrupt Oil of Immortality</t>
        </is>
      </c>
      <c r="D429" t="n">
        <v>0.35842673</v>
      </c>
      <c r="E429" t="n">
        <v>6451</v>
      </c>
      <c r="F429" s="3" t="n">
        <v>0.05556142148504108</v>
      </c>
      <c r="G429" t="n">
        <v>17998</v>
      </c>
      <c r="H429" s="3" t="n">
        <v>0.05434825082028574</v>
      </c>
      <c r="I429" s="3" t="n">
        <v>0.05679484471141451</v>
      </c>
      <c r="J429" t="n">
        <v>7970.6</v>
      </c>
      <c r="K429">
        <f>IF(IFERROR(INDEX(Spots!$K$2:$K$96,MATCH(A429,Spots!$A$2:$A$96,0)),"")="","",IFERROR(INDEX(Spots!$K$2:$K$96,MATCH(A429,Spots!$A$2:$A$96,0)),""))</f>
        <v/>
      </c>
      <c r="L429" s="3">
        <f>IF(OR(K429="",F429=""),"",F429/1000*K429*100)</f>
        <v/>
      </c>
      <c r="M429">
        <f>IF(OR(L429="",L429=0),"",ROUND(100/L429,0))</f>
        <v/>
      </c>
      <c r="N429" t="inlineStr"/>
    </row>
    <row r="430">
      <c r="A430" t="n">
        <v>218</v>
      </c>
      <c r="B430" t="inlineStr">
        <is>
          <t>Event Horizon</t>
        </is>
      </c>
      <c r="C430" t="inlineStr">
        <is>
          <t>Twilight of the End - Necklace</t>
        </is>
      </c>
      <c r="D430" t="n">
        <v>0.31371904</v>
      </c>
      <c r="E430" t="n">
        <v>6451</v>
      </c>
      <c r="F430" s="3" t="n">
        <v>0.04863107115175942</v>
      </c>
      <c r="G430" t="n">
        <v>20563</v>
      </c>
      <c r="H430" s="3" t="n">
        <v>0.04749650797897694</v>
      </c>
      <c r="I430" s="3" t="n">
        <v>0.0497858921302556</v>
      </c>
      <c r="J430" t="n">
        <v>6976.4</v>
      </c>
      <c r="K430">
        <f>IF(IFERROR(INDEX(Spots!$K$2:$K$96,MATCH(A430,Spots!$A$2:$A$96,0)),"")="","",IFERROR(INDEX(Spots!$K$2:$K$96,MATCH(A430,Spots!$A$2:$A$96,0)),""))</f>
        <v/>
      </c>
      <c r="L430" s="3">
        <f>IF(OR(K430="",F430=""),"",F430/1000*K430*100)</f>
        <v/>
      </c>
      <c r="M430">
        <f>IF(OR(L430="",L430=0),"",ROUND(100/L430,0))</f>
        <v/>
      </c>
      <c r="N430" t="inlineStr"/>
    </row>
    <row r="431">
      <c r="A431" t="n">
        <v>218</v>
      </c>
      <c r="B431" t="inlineStr">
        <is>
          <t>Event Horizon</t>
        </is>
      </c>
      <c r="C431" t="inlineStr">
        <is>
          <t>Twilight of the End - Belt</t>
        </is>
      </c>
      <c r="D431" t="n">
        <v>0.26682773</v>
      </c>
      <c r="E431" t="n">
        <v>6451</v>
      </c>
      <c r="F431" s="3" t="n">
        <v>0.04136222756161836</v>
      </c>
      <c r="G431" t="n">
        <v>24177</v>
      </c>
      <c r="H431" s="3" t="n">
        <v>0.04031640090672234</v>
      </c>
      <c r="I431" s="3" t="n">
        <v>0.04242831888060463</v>
      </c>
      <c r="J431" t="n">
        <v>5933.7</v>
      </c>
      <c r="K431">
        <f>IF(IFERROR(INDEX(Spots!$K$2:$K$96,MATCH(A431,Spots!$A$2:$A$96,0)),"")="","",IFERROR(INDEX(Spots!$K$2:$K$96,MATCH(A431,Spots!$A$2:$A$96,0)),""))</f>
        <v/>
      </c>
      <c r="L431" s="3">
        <f>IF(OR(K431="",F431=""),"",F431/1000*K431*100)</f>
        <v/>
      </c>
      <c r="M431">
        <f>IF(OR(L431="",L431=0),"",ROUND(100/L431,0))</f>
        <v/>
      </c>
      <c r="N431" t="inlineStr"/>
    </row>
    <row r="432">
      <c r="A432" t="n">
        <v>218</v>
      </c>
      <c r="B432" t="inlineStr">
        <is>
          <t>Event Horizon</t>
        </is>
      </c>
      <c r="C432" t="inlineStr">
        <is>
          <t>Silent Fragment of Origin</t>
        </is>
      </c>
      <c r="D432" t="n">
        <v>0.20833934</v>
      </c>
      <c r="E432" t="n">
        <v>6451</v>
      </c>
      <c r="F432" s="3" t="n">
        <v>0.03229566578824988</v>
      </c>
      <c r="G432" t="n">
        <v>30964</v>
      </c>
      <c r="H432" s="3" t="n">
        <v>0.03137231443106481</v>
      </c>
      <c r="I432" s="3" t="n">
        <v>0.03323929341834506</v>
      </c>
      <c r="J432" t="n">
        <v>4633</v>
      </c>
      <c r="K432">
        <f>IF(IFERROR(INDEX(Spots!$K$2:$K$96,MATCH(A432,Spots!$A$2:$A$96,0)),"")="","",IFERROR(INDEX(Spots!$K$2:$K$96,MATCH(A432,Spots!$A$2:$A$96,0)),""))</f>
        <v/>
      </c>
      <c r="L432" s="3">
        <f>IF(OR(K432="",F432=""),"",F432/1000*K432*100)</f>
        <v/>
      </c>
      <c r="M432">
        <f>IF(OR(L432="",L432=0),"",ROUND(100/L432,0))</f>
        <v/>
      </c>
      <c r="N432" t="inlineStr"/>
    </row>
    <row r="433">
      <c r="A433" t="n">
        <v>218</v>
      </c>
      <c r="B433" t="inlineStr">
        <is>
          <t>Event Horizon</t>
        </is>
      </c>
      <c r="C433" t="inlineStr">
        <is>
          <t>White Primordial Luster - Sovereign</t>
        </is>
      </c>
      <c r="D433" t="n">
        <v>0.18425392</v>
      </c>
      <c r="E433" t="n">
        <v>6451</v>
      </c>
      <c r="F433" s="3" t="n">
        <v>0.02856207099674469</v>
      </c>
      <c r="G433" t="n">
        <v>35011</v>
      </c>
      <c r="H433" s="3" t="n">
        <v>0.02769412649534923</v>
      </c>
      <c r="I433" s="3" t="n">
        <v>0.02945029808720361</v>
      </c>
      <c r="J433" t="n">
        <v>4097.4</v>
      </c>
      <c r="K433">
        <f>IF(IFERROR(INDEX(Spots!$K$2:$K$96,MATCH(A433,Spots!$A$2:$A$96,0)),"")="","",IFERROR(INDEX(Spots!$K$2:$K$96,MATCH(A433,Spots!$A$2:$A$96,0)),""))</f>
        <v/>
      </c>
      <c r="L433" s="3">
        <f>IF(OR(K433="",F433=""),"",F433/1000*K433*100)</f>
        <v/>
      </c>
      <c r="M433">
        <f>IF(OR(L433="",L433=0),"",ROUND(100/L433,0))</f>
        <v/>
      </c>
      <c r="N433" t="inlineStr"/>
    </row>
    <row r="434">
      <c r="A434" t="n">
        <v>218</v>
      </c>
      <c r="B434" t="inlineStr">
        <is>
          <t>Event Horizon</t>
        </is>
      </c>
      <c r="C434" t="inlineStr">
        <is>
          <t>White Primordial Luster - Edana</t>
        </is>
      </c>
      <c r="D434" t="n">
        <v>0.18415861</v>
      </c>
      <c r="E434" t="n">
        <v>6451</v>
      </c>
      <c r="F434" s="3" t="n">
        <v>0.0285472965431716</v>
      </c>
      <c r="G434" t="n">
        <v>35030</v>
      </c>
      <c r="H434" s="3" t="n">
        <v>0.02767957827055836</v>
      </c>
      <c r="I434" s="3" t="n">
        <v>0.0294352974322726</v>
      </c>
      <c r="J434" t="n">
        <v>4095.3</v>
      </c>
      <c r="K434">
        <f>IF(IFERROR(INDEX(Spots!$K$2:$K$96,MATCH(A434,Spots!$A$2:$A$96,0)),"")="","",IFERROR(INDEX(Spots!$K$2:$K$96,MATCH(A434,Spots!$A$2:$A$96,0)),""))</f>
        <v/>
      </c>
      <c r="L434" s="3">
        <f>IF(OR(K434="",F434=""),"",F434/1000*K434*100)</f>
        <v/>
      </c>
      <c r="M434">
        <f>IF(OR(L434="",L434=0),"",ROUND(100/L434,0))</f>
        <v/>
      </c>
      <c r="N434" t="inlineStr"/>
    </row>
    <row r="435">
      <c r="A435" t="n">
        <v>218</v>
      </c>
      <c r="B435" t="inlineStr">
        <is>
          <t>Event Horizon</t>
        </is>
      </c>
      <c r="C435" t="inlineStr">
        <is>
          <t>Twilight of the End - Ring</t>
        </is>
      </c>
      <c r="D435" t="n">
        <v>0.17950839</v>
      </c>
      <c r="E435" t="n">
        <v>6451</v>
      </c>
      <c r="F435" s="3" t="n">
        <v>0.02782644396217641</v>
      </c>
      <c r="G435" t="n">
        <v>35937</v>
      </c>
      <c r="H435" s="3" t="n">
        <v>0.02696983551200592</v>
      </c>
      <c r="I435" s="3" t="n">
        <v>0.02870333639323054</v>
      </c>
      <c r="J435" t="n">
        <v>3991.9</v>
      </c>
      <c r="K435">
        <f>IF(IFERROR(INDEX(Spots!$K$2:$K$96,MATCH(A435,Spots!$A$2:$A$96,0)),"")="","",IFERROR(INDEX(Spots!$K$2:$K$96,MATCH(A435,Spots!$A$2:$A$96,0)),""))</f>
        <v/>
      </c>
      <c r="L435" s="3">
        <f>IF(OR(K435="",F435=""),"",F435/1000*K435*100)</f>
        <v/>
      </c>
      <c r="M435">
        <f>IF(OR(L435="",L435=0),"",ROUND(100/L435,0))</f>
        <v/>
      </c>
      <c r="N435" t="inlineStr"/>
    </row>
    <row r="436">
      <c r="A436" t="n">
        <v>218</v>
      </c>
      <c r="B436" t="inlineStr">
        <is>
          <t>Event Horizon</t>
        </is>
      </c>
      <c r="C436" t="inlineStr">
        <is>
          <t>Twilight of the End - Earring</t>
        </is>
      </c>
      <c r="D436" t="n">
        <v>0.13369259</v>
      </c>
      <c r="E436" t="n">
        <v>6451</v>
      </c>
      <c r="F436" s="3" t="n">
        <v>0.02072432026042474</v>
      </c>
      <c r="G436" t="n">
        <v>48252</v>
      </c>
      <c r="H436" s="3" t="n">
        <v>0.01998597591282843</v>
      </c>
      <c r="I436" s="3" t="n">
        <v>0.02148296562469659</v>
      </c>
      <c r="J436" t="n">
        <v>2973</v>
      </c>
      <c r="K436">
        <f>IF(IFERROR(INDEX(Spots!$K$2:$K$96,MATCH(A436,Spots!$A$2:$A$96,0)),"")="","",IFERROR(INDEX(Spots!$K$2:$K$96,MATCH(A436,Spots!$A$2:$A$96,0)),""))</f>
        <v/>
      </c>
      <c r="L436" s="3">
        <f>IF(OR(K436="",F436=""),"",F436/1000*K436*100)</f>
        <v/>
      </c>
      <c r="M436">
        <f>IF(OR(L436="",L436=0),"",ROUND(100/L436,0))</f>
        <v/>
      </c>
      <c r="N436" t="inlineStr"/>
    </row>
    <row r="437">
      <c r="A437" t="n">
        <v>218</v>
      </c>
      <c r="B437" t="inlineStr">
        <is>
          <t>Event Horizon</t>
        </is>
      </c>
      <c r="C437" t="inlineStr">
        <is>
          <t>Embers of Ynix - Shoes</t>
        </is>
      </c>
      <c r="D437" t="n">
        <v>0.05847814</v>
      </c>
      <c r="E437" t="n">
        <v>6451</v>
      </c>
      <c r="F437" s="3" t="n">
        <v>0.009064972872422881</v>
      </c>
      <c r="G437" t="n">
        <v>110315</v>
      </c>
      <c r="H437" s="3" t="n">
        <v>0.008578908157860395</v>
      </c>
      <c r="I437" s="3" t="n">
        <v>0.00957140210110545</v>
      </c>
      <c r="J437" t="n">
        <v>1300.4</v>
      </c>
      <c r="K437">
        <f>IF(IFERROR(INDEX(Spots!$K$2:$K$96,MATCH(A437,Spots!$A$2:$A$96,0)),"")="","",IFERROR(INDEX(Spots!$K$2:$K$96,MATCH(A437,Spots!$A$2:$A$96,0)),""))</f>
        <v/>
      </c>
      <c r="L437" s="3">
        <f>IF(OR(K437="",F437=""),"",F437/1000*K437*100)</f>
        <v/>
      </c>
      <c r="M437">
        <f>IF(OR(L437="",L437=0),"",ROUND(100/L437,0))</f>
        <v/>
      </c>
      <c r="N437" t="inlineStr"/>
    </row>
    <row r="438">
      <c r="A438" t="n">
        <v>218</v>
      </c>
      <c r="B438" t="inlineStr">
        <is>
          <t>Event Horizon</t>
        </is>
      </c>
      <c r="C438" t="inlineStr">
        <is>
          <t>Embers of Ynix - Armor</t>
        </is>
      </c>
      <c r="D438" t="n">
        <v>0.05775743</v>
      </c>
      <c r="E438" t="n">
        <v>6451</v>
      </c>
      <c r="F438" s="3" t="n">
        <v>0.008953252208959851</v>
      </c>
      <c r="G438" t="n">
        <v>111691</v>
      </c>
      <c r="H438" s="3" t="n">
        <v>0.008470233195242071</v>
      </c>
      <c r="I438" s="3" t="n">
        <v>0.009456636900518824</v>
      </c>
      <c r="J438" t="n">
        <v>1284.4</v>
      </c>
      <c r="K438">
        <f>IF(IFERROR(INDEX(Spots!$K$2:$K$96,MATCH(A438,Spots!$A$2:$A$96,0)),"")="","",IFERROR(INDEX(Spots!$K$2:$K$96,MATCH(A438,Spots!$A$2:$A$96,0)),""))</f>
        <v/>
      </c>
      <c r="L438" s="3">
        <f>IF(OR(K438="",F438=""),"",F438/1000*K438*100)</f>
        <v/>
      </c>
      <c r="M438">
        <f>IF(OR(L438="",L438=0),"",ROUND(100/L438,0))</f>
        <v/>
      </c>
      <c r="N438" t="inlineStr"/>
    </row>
    <row r="439">
      <c r="A439" t="n">
        <v>218</v>
      </c>
      <c r="B439" t="inlineStr">
        <is>
          <t>Event Horizon</t>
        </is>
      </c>
      <c r="C439" t="inlineStr">
        <is>
          <t>Embers of Ynix - Gloves</t>
        </is>
      </c>
      <c r="D439" t="n">
        <v>0.0572749</v>
      </c>
      <c r="E439" t="n">
        <v>6451</v>
      </c>
      <c r="F439" s="3" t="n">
        <v>0.008878452953030537</v>
      </c>
      <c r="G439" t="n">
        <v>112632</v>
      </c>
      <c r="H439" s="3" t="n">
        <v>0.008397483730939379</v>
      </c>
      <c r="I439" s="3" t="n">
        <v>0.009379788644291018</v>
      </c>
      <c r="J439" t="n">
        <v>1273.7</v>
      </c>
      <c r="K439">
        <f>IF(IFERROR(INDEX(Spots!$K$2:$K$96,MATCH(A439,Spots!$A$2:$A$96,0)),"")="","",IFERROR(INDEX(Spots!$K$2:$K$96,MATCH(A439,Spots!$A$2:$A$96,0)),""))</f>
        <v/>
      </c>
      <c r="L439" s="3">
        <f>IF(OR(K439="",F439=""),"",F439/1000*K439*100)</f>
        <v/>
      </c>
      <c r="M439">
        <f>IF(OR(L439="",L439=0),"",ROUND(100/L439,0))</f>
        <v/>
      </c>
      <c r="N439" t="inlineStr"/>
    </row>
    <row r="440">
      <c r="A440" t="n">
        <v>218</v>
      </c>
      <c r="B440" t="inlineStr">
        <is>
          <t>Event Horizon</t>
        </is>
      </c>
      <c r="C440" t="inlineStr">
        <is>
          <t>Embers of Ynix - Helmet</t>
        </is>
      </c>
      <c r="D440" t="n">
        <v>0.05663039</v>
      </c>
      <c r="E440" t="n">
        <v>6451</v>
      </c>
      <c r="F440" s="3" t="n">
        <v>0.008778544411719113</v>
      </c>
      <c r="G440" t="n">
        <v>113914</v>
      </c>
      <c r="H440" s="3" t="n">
        <v>0.008300326591970509</v>
      </c>
      <c r="I440" s="3" t="n">
        <v>0.009277129773272424</v>
      </c>
      <c r="J440" t="n">
        <v>1259.3</v>
      </c>
      <c r="K440">
        <f>IF(IFERROR(INDEX(Spots!$K$2:$K$96,MATCH(A440,Spots!$A$2:$A$96,0)),"")="","",IFERROR(INDEX(Spots!$K$2:$K$96,MATCH(A440,Spots!$A$2:$A$96,0)),""))</f>
        <v/>
      </c>
      <c r="L440" s="3">
        <f>IF(OR(K440="",F440=""),"",F440/1000*K440*100)</f>
        <v/>
      </c>
      <c r="M440">
        <f>IF(OR(L440="",L440=0),"",ROUND(100/L440,0))</f>
        <v/>
      </c>
      <c r="N440" t="inlineStr"/>
    </row>
    <row r="441">
      <c r="A441" t="n">
        <v>218</v>
      </c>
      <c r="B441" t="inlineStr">
        <is>
          <t>Event Horizon</t>
        </is>
      </c>
      <c r="C441" t="inlineStr">
        <is>
          <t>Refined Essence of Devouring</t>
        </is>
      </c>
      <c r="D441" t="n">
        <v>0.05292769</v>
      </c>
      <c r="E441" t="n">
        <v>6451</v>
      </c>
      <c r="F441" s="3" t="n">
        <v>0.008204571384281507</v>
      </c>
      <c r="G441" t="n">
        <v>121883</v>
      </c>
      <c r="H441" s="3" t="n">
        <v>0.007742473156506598</v>
      </c>
      <c r="I441" s="3" t="n">
        <v>0.008687043689351999</v>
      </c>
      <c r="J441" t="n">
        <v>1177</v>
      </c>
      <c r="K441">
        <f>IF(IFERROR(INDEX(Spots!$K$2:$K$96,MATCH(A441,Spots!$A$2:$A$96,0)),"")="","",IFERROR(INDEX(Spots!$K$2:$K$96,MATCH(A441,Spots!$A$2:$A$96,0)),""))</f>
        <v/>
      </c>
      <c r="L441" s="3">
        <f>IF(OR(K441="",F441=""),"",F441/1000*K441*100)</f>
        <v/>
      </c>
      <c r="M441">
        <f>IF(OR(L441="",L441=0),"",ROUND(100/L441,0))</f>
        <v/>
      </c>
      <c r="N441" t="inlineStr"/>
    </row>
    <row r="442">
      <c r="A442" t="n">
        <v>218</v>
      </c>
      <c r="B442" t="inlineStr">
        <is>
          <t>Event Horizon</t>
        </is>
      </c>
      <c r="C442" t="inlineStr">
        <is>
          <t>Crimson Primordial Luster - Sovereign</t>
        </is>
      </c>
      <c r="D442" t="n">
        <v>0.02772823</v>
      </c>
      <c r="E442" t="n">
        <v>6451</v>
      </c>
      <c r="F442" s="3" t="n">
        <v>0.004298283986978763</v>
      </c>
      <c r="G442" t="n">
        <v>232651</v>
      </c>
      <c r="H442" s="3" t="n">
        <v>0.003965660356140887</v>
      </c>
      <c r="I442" s="3" t="n">
        <v>0.004651356500372859</v>
      </c>
      <c r="J442" t="n">
        <v>616.6</v>
      </c>
      <c r="K442">
        <f>IF(IFERROR(INDEX(Spots!$K$2:$K$96,MATCH(A442,Spots!$A$2:$A$96,0)),"")="","",IFERROR(INDEX(Spots!$K$2:$K$96,MATCH(A442,Spots!$A$2:$A$96,0)),""))</f>
        <v/>
      </c>
      <c r="L442" s="3">
        <f>IF(OR(K442="",F442=""),"",F442/1000*K442*100)</f>
        <v/>
      </c>
      <c r="M442">
        <f>IF(OR(L442="",L442=0),"",ROUND(100/L442,0))</f>
        <v/>
      </c>
      <c r="N442" t="inlineStr"/>
    </row>
    <row r="443">
      <c r="A443" t="n">
        <v>218</v>
      </c>
      <c r="B443" t="inlineStr">
        <is>
          <t>Event Horizon</t>
        </is>
      </c>
      <c r="C443" t="inlineStr">
        <is>
          <t>Violet Primordial Luster - Sovereign</t>
        </is>
      </c>
      <c r="D443" t="n">
        <v>0.02628229</v>
      </c>
      <c r="E443" t="n">
        <v>6451</v>
      </c>
      <c r="F443" s="3" t="n">
        <v>0.004074141993489382</v>
      </c>
      <c r="G443" t="n">
        <v>245450</v>
      </c>
      <c r="H443" s="3" t="n">
        <v>0.003750483829482738</v>
      </c>
      <c r="I443" s="3" t="n">
        <v>0.004418256369284581</v>
      </c>
      <c r="J443" t="n">
        <v>584.5</v>
      </c>
      <c r="K443">
        <f>IF(IFERROR(INDEX(Spots!$K$2:$K$96,MATCH(A443,Spots!$A$2:$A$96,0)),"")="","",IFERROR(INDEX(Spots!$K$2:$K$96,MATCH(A443,Spots!$A$2:$A$96,0)),""))</f>
        <v/>
      </c>
      <c r="L443" s="3">
        <f>IF(OR(K443="",F443=""),"",F443/1000*K443*100)</f>
        <v/>
      </c>
      <c r="M443">
        <f>IF(OR(L443="",L443=0),"",ROUND(100/L443,0))</f>
        <v/>
      </c>
      <c r="N443" t="inlineStr"/>
    </row>
    <row r="444">
      <c r="A444" t="n">
        <v>218</v>
      </c>
      <c r="B444" t="inlineStr">
        <is>
          <t>Event Horizon</t>
        </is>
      </c>
      <c r="C444" t="inlineStr">
        <is>
          <t>Sunset Primordial Luster - Edana</t>
        </is>
      </c>
      <c r="D444" t="n">
        <v>0.02626668</v>
      </c>
      <c r="E444" t="n">
        <v>6451</v>
      </c>
      <c r="F444" s="3" t="n">
        <v>0.004071722213610292</v>
      </c>
      <c r="G444" t="n">
        <v>245596</v>
      </c>
      <c r="H444" s="3" t="n">
        <v>0.003748162166805488</v>
      </c>
      <c r="I444" s="3" t="n">
        <v>0.004415738554593375</v>
      </c>
      <c r="J444" t="n">
        <v>584.1</v>
      </c>
      <c r="K444">
        <f>IF(IFERROR(INDEX(Spots!$K$2:$K$96,MATCH(A444,Spots!$A$2:$A$96,0)),"")="","",IFERROR(INDEX(Spots!$K$2:$K$96,MATCH(A444,Spots!$A$2:$A$96,0)),""))</f>
        <v/>
      </c>
      <c r="L444" s="3">
        <f>IF(OR(K444="",F444=""),"",F444/1000*K444*100)</f>
        <v/>
      </c>
      <c r="M444">
        <f>IF(OR(L444="",L444=0),"",ROUND(100/L444,0))</f>
        <v/>
      </c>
      <c r="N444" t="inlineStr"/>
    </row>
    <row r="445">
      <c r="A445" t="n">
        <v>218</v>
      </c>
      <c r="B445" t="inlineStr">
        <is>
          <t>Event Horizon</t>
        </is>
      </c>
      <c r="C445" t="inlineStr">
        <is>
          <t>Violet Primordial Luster - Edana</t>
        </is>
      </c>
      <c r="D445" t="n">
        <v>0.02587645</v>
      </c>
      <c r="E445" t="n">
        <v>6451</v>
      </c>
      <c r="F445" s="3" t="n">
        <v>0.004011230816927607</v>
      </c>
      <c r="G445" t="n">
        <v>249300</v>
      </c>
      <c r="H445" s="3" t="n">
        <v>0.003690133120899496</v>
      </c>
      <c r="I445" s="3" t="n">
        <v>0.004352786890775664</v>
      </c>
      <c r="J445" t="n">
        <v>575.4</v>
      </c>
      <c r="K445">
        <f>IF(IFERROR(INDEX(Spots!$K$2:$K$96,MATCH(A445,Spots!$A$2:$A$96,0)),"")="","",IFERROR(INDEX(Spots!$K$2:$K$96,MATCH(A445,Spots!$A$2:$A$96,0)),""))</f>
        <v/>
      </c>
      <c r="L445" s="3">
        <f>IF(OR(K445="",F445=""),"",F445/1000*K445*100)</f>
        <v/>
      </c>
      <c r="M445">
        <f>IF(OR(L445="",L445=0),"",ROUND(100/L445,0))</f>
        <v/>
      </c>
      <c r="N445" t="inlineStr"/>
    </row>
    <row r="446">
      <c r="A446" t="n">
        <v>218</v>
      </c>
      <c r="B446" t="inlineStr">
        <is>
          <t>Event Horizon</t>
        </is>
      </c>
      <c r="C446" t="inlineStr">
        <is>
          <t>HAN Wandering Origin Crystal</t>
        </is>
      </c>
      <c r="D446" t="n">
        <v>0.01343879</v>
      </c>
      <c r="E446" t="n">
        <v>6451</v>
      </c>
      <c r="F446" s="3" t="n">
        <v>0.002083210354983724</v>
      </c>
      <c r="G446" t="n">
        <v>480028</v>
      </c>
      <c r="H446" s="3" t="n">
        <v>0.00185368276007525</v>
      </c>
      <c r="I446" s="3" t="n">
        <v>0.002333304220999136</v>
      </c>
      <c r="J446" t="n">
        <v>298.8</v>
      </c>
      <c r="K446">
        <f>IF(IFERROR(INDEX(Spots!$K$2:$K$96,MATCH(A446,Spots!$A$2:$A$96,0)),"")="","",IFERROR(INDEX(Spots!$K$2:$K$96,MATCH(A446,Spots!$A$2:$A$96,0)),""))</f>
        <v/>
      </c>
      <c r="L446" s="3">
        <f>IF(OR(K446="",F446=""),"",F446/1000*K446*100)</f>
        <v/>
      </c>
      <c r="M446">
        <f>IF(OR(L446="",L446=0),"",ROUND(100/L446,0))</f>
        <v/>
      </c>
      <c r="N446" t="inlineStr"/>
    </row>
    <row r="447">
      <c r="A447" t="n">
        <v>218</v>
      </c>
      <c r="B447" t="inlineStr">
        <is>
          <t>Event Horizon</t>
        </is>
      </c>
      <c r="C447" t="inlineStr">
        <is>
          <t>Broken Vestige of Voidreach</t>
        </is>
      </c>
      <c r="D447" t="n">
        <v>0.008287660000000001</v>
      </c>
      <c r="E447" t="n">
        <v>6451</v>
      </c>
      <c r="F447" s="3" t="n">
        <v>0.001284709347388002</v>
      </c>
      <c r="G447" t="n">
        <v>778386</v>
      </c>
      <c r="H447" s="3" t="n">
        <v>0.001105907554853854</v>
      </c>
      <c r="I447" s="3" t="n">
        <v>0.001484182171276464</v>
      </c>
      <c r="J447" t="n">
        <v>184.3</v>
      </c>
      <c r="K447">
        <f>IF(IFERROR(INDEX(Spots!$K$2:$K$96,MATCH(A447,Spots!$A$2:$A$96,0)),"")="","",IFERROR(INDEX(Spots!$K$2:$K$96,MATCH(A447,Spots!$A$2:$A$96,0)),""))</f>
        <v/>
      </c>
      <c r="L447" s="3">
        <f>IF(OR(K447="",F447=""),"",F447/1000*K447*100)</f>
        <v/>
      </c>
      <c r="M447">
        <f>IF(OR(L447="",L447=0),"",ROUND(100/L447,0))</f>
        <v/>
      </c>
      <c r="N447" t="inlineStr"/>
    </row>
    <row r="448">
      <c r="A448" t="n">
        <v>218</v>
      </c>
      <c r="B448" t="inlineStr">
        <is>
          <t>Event Horizon</t>
        </is>
      </c>
      <c r="C448" t="inlineStr">
        <is>
          <t>Refined Origin of Hunger</t>
        </is>
      </c>
      <c r="D448" t="n">
        <v>0.00474959</v>
      </c>
      <c r="E448" t="n">
        <v>6451</v>
      </c>
      <c r="F448" s="3" t="n">
        <v>0.0007362563943574639</v>
      </c>
      <c r="G448" t="n">
        <v>1358222</v>
      </c>
      <c r="H448" s="3" t="n">
        <v>0.0006025439902584922</v>
      </c>
      <c r="I448" s="3" t="n">
        <v>0.0008907948433907703</v>
      </c>
      <c r="J448" t="n">
        <v>105.6</v>
      </c>
      <c r="K448">
        <f>IF(IFERROR(INDEX(Spots!$K$2:$K$96,MATCH(A448,Spots!$A$2:$A$96,0)),"")="","",IFERROR(INDEX(Spots!$K$2:$K$96,MATCH(A448,Spots!$A$2:$A$96,0)),""))</f>
        <v/>
      </c>
      <c r="L448" s="3">
        <f>IF(OR(K448="",F448=""),"",F448/1000*K448*100)</f>
        <v/>
      </c>
      <c r="M448">
        <f>IF(OR(L448="",L448=0),"",ROUND(100/L448,0))</f>
        <v/>
      </c>
      <c r="N448" t="inlineStr"/>
    </row>
    <row r="449">
      <c r="A449" t="n">
        <v>218</v>
      </c>
      <c r="B449" t="inlineStr">
        <is>
          <t>Event Horizon</t>
        </is>
      </c>
      <c r="C449" t="inlineStr">
        <is>
          <t>Apeiron Belt</t>
        </is>
      </c>
      <c r="D449" t="n">
        <v>0.00381688</v>
      </c>
      <c r="E449" t="n">
        <v>6451</v>
      </c>
      <c r="F449" s="3" t="n">
        <v>0.0005916726088978453</v>
      </c>
      <c r="G449" t="n">
        <v>1690124</v>
      </c>
      <c r="H449" s="3" t="n">
        <v>0.000472510588488692</v>
      </c>
      <c r="I449" s="3" t="n">
        <v>0.0007317336814748701</v>
      </c>
      <c r="J449" t="n">
        <v>84.90000000000001</v>
      </c>
      <c r="K449">
        <f>IF(IFERROR(INDEX(Spots!$K$2:$K$96,MATCH(A449,Spots!$A$2:$A$96,0)),"")="","",IFERROR(INDEX(Spots!$K$2:$K$96,MATCH(A449,Spots!$A$2:$A$96,0)),""))</f>
        <v/>
      </c>
      <c r="L449" s="3">
        <f>IF(OR(K449="",F449=""),"",F449/1000*K449*100)</f>
        <v/>
      </c>
      <c r="M449">
        <f>IF(OR(L449="",L449=0),"",ROUND(100/L449,0))</f>
        <v/>
      </c>
      <c r="N449" t="inlineStr"/>
    </row>
    <row r="450">
      <c r="A450" t="n">
        <v>218</v>
      </c>
      <c r="B450" t="inlineStr">
        <is>
          <t>Event Horizon</t>
        </is>
      </c>
      <c r="C450" t="inlineStr">
        <is>
          <t>Apeiron Ring</t>
        </is>
      </c>
      <c r="D450" t="n">
        <v>0.00368743</v>
      </c>
      <c r="E450" t="n">
        <v>6451</v>
      </c>
      <c r="F450" s="3" t="n">
        <v>0.0005716059525654937</v>
      </c>
      <c r="G450" t="n">
        <v>1749457</v>
      </c>
      <c r="H450" s="3" t="n">
        <v>0.0004545986160973401</v>
      </c>
      <c r="I450" s="3" t="n">
        <v>0.0007095245657327067</v>
      </c>
      <c r="J450" t="n">
        <v>82</v>
      </c>
      <c r="K450">
        <f>IF(IFERROR(INDEX(Spots!$K$2:$K$96,MATCH(A450,Spots!$A$2:$A$96,0)),"")="","",IFERROR(INDEX(Spots!$K$2:$K$96,MATCH(A450,Spots!$A$2:$A$96,0)),""))</f>
        <v/>
      </c>
      <c r="L450" s="3">
        <f>IF(OR(K450="",F450=""),"",F450/1000*K450*100)</f>
        <v/>
      </c>
      <c r="M450">
        <f>IF(OR(L450="",L450=0),"",ROUND(100/L450,0))</f>
        <v/>
      </c>
      <c r="N450" t="inlineStr"/>
    </row>
    <row r="451">
      <c r="A451" t="n">
        <v>218</v>
      </c>
      <c r="B451" t="inlineStr">
        <is>
          <t>Event Horizon</t>
        </is>
      </c>
      <c r="C451" t="inlineStr">
        <is>
          <t>Apeiron Necklace</t>
        </is>
      </c>
      <c r="D451" t="n">
        <v>0.00367417</v>
      </c>
      <c r="E451" t="n">
        <v>6451</v>
      </c>
      <c r="F451" s="3" t="n">
        <v>0.0005695504572934429</v>
      </c>
      <c r="G451" t="n">
        <v>1755771</v>
      </c>
      <c r="H451" s="3" t="n">
        <v>0.0004527659563751982</v>
      </c>
      <c r="I451" s="3" t="n">
        <v>0.0007072475227145881</v>
      </c>
      <c r="J451" t="n">
        <v>81.7</v>
      </c>
      <c r="K451">
        <f>IF(IFERROR(INDEX(Spots!$K$2:$K$96,MATCH(A451,Spots!$A$2:$A$96,0)),"")="","",IFERROR(INDEX(Spots!$K$2:$K$96,MATCH(A451,Spots!$A$2:$A$96,0)),""))</f>
        <v/>
      </c>
      <c r="L451" s="3">
        <f>IF(OR(K451="",F451=""),"",F451/1000*K451*100)</f>
        <v/>
      </c>
      <c r="M451">
        <f>IF(OR(L451="",L451=0),"",ROUND(100/L451,0))</f>
        <v/>
      </c>
      <c r="N451" t="inlineStr"/>
    </row>
    <row r="452">
      <c r="A452" t="n">
        <v>218</v>
      </c>
      <c r="B452" t="inlineStr">
        <is>
          <t>Event Horizon</t>
        </is>
      </c>
      <c r="C452" t="inlineStr">
        <is>
          <t>Apeiron Earring</t>
        </is>
      </c>
      <c r="D452" t="n">
        <v>0.00363665</v>
      </c>
      <c r="E452" t="n">
        <v>6451</v>
      </c>
      <c r="F452" s="3" t="n">
        <v>0.0005637343047589521</v>
      </c>
      <c r="G452" t="n">
        <v>1773885</v>
      </c>
      <c r="H452" s="3" t="n">
        <v>0.000447582522081804</v>
      </c>
      <c r="I452" s="3" t="n">
        <v>0.0007008023331578017</v>
      </c>
      <c r="J452" t="n">
        <v>80.90000000000001</v>
      </c>
      <c r="K452">
        <f>IF(IFERROR(INDEX(Spots!$K$2:$K$96,MATCH(A452,Spots!$A$2:$A$96,0)),"")="","",IFERROR(INDEX(Spots!$K$2:$K$96,MATCH(A452,Spots!$A$2:$A$96,0)),""))</f>
        <v/>
      </c>
      <c r="L452" s="3">
        <f>IF(OR(K452="",F452=""),"",F452/1000*K452*100)</f>
        <v/>
      </c>
      <c r="M452">
        <f>IF(OR(L452="",L452=0),"",ROUND(100/L452,0))</f>
        <v/>
      </c>
      <c r="N452" t="inlineStr"/>
    </row>
    <row r="453">
      <c r="A453" t="n">
        <v>218</v>
      </c>
      <c r="B453" t="inlineStr">
        <is>
          <t>Event Horizon</t>
        </is>
      </c>
      <c r="C453" t="inlineStr">
        <is>
          <t>Silent Crystal of Origin</t>
        </is>
      </c>
      <c r="D453" t="n">
        <v>0.0023861</v>
      </c>
      <c r="E453" t="n">
        <v>6451</v>
      </c>
      <c r="F453" s="3" t="n">
        <v>0.0003698806386606727</v>
      </c>
      <c r="G453" t="n">
        <v>2703575</v>
      </c>
      <c r="H453" s="3" t="n">
        <v>0.0002770950866480817</v>
      </c>
      <c r="I453" s="3" t="n">
        <v>0.0004837498366145999</v>
      </c>
      <c r="J453" t="n">
        <v>53.1</v>
      </c>
      <c r="K453">
        <f>IF(IFERROR(INDEX(Spots!$K$2:$K$96,MATCH(A453,Spots!$A$2:$A$96,0)),"")="","",IFERROR(INDEX(Spots!$K$2:$K$96,MATCH(A453,Spots!$A$2:$A$96,0)),""))</f>
        <v/>
      </c>
      <c r="L453" s="3">
        <f>IF(OR(K453="",F453=""),"",F453/1000*K453*100)</f>
        <v/>
      </c>
      <c r="M453">
        <f>IF(OR(L453="",L453=0),"",ROUND(100/L453,0))</f>
        <v/>
      </c>
      <c r="N453" t="inlineStr"/>
    </row>
    <row r="454">
      <c r="A454" t="n">
        <v>218</v>
      </c>
      <c r="B454" t="inlineStr">
        <is>
          <t>Event Horizon</t>
        </is>
      </c>
      <c r="C454" t="inlineStr">
        <is>
          <t>White Primordial Pigment - Sovereign</t>
        </is>
      </c>
      <c r="D454" t="n">
        <v>0.00045869</v>
      </c>
      <c r="E454" t="n">
        <v>6451</v>
      </c>
      <c r="F454" s="3" t="n">
        <v>7.110370485196092e-05</v>
      </c>
      <c r="G454" t="n">
        <v>14063965</v>
      </c>
      <c r="H454" s="3" t="n">
        <v>3.43354181851265e-05</v>
      </c>
      <c r="I454" s="3" t="n">
        <v>0.0001300145294617795</v>
      </c>
      <c r="J454" t="n">
        <v>10.2</v>
      </c>
      <c r="K454">
        <f>IF(IFERROR(INDEX(Spots!$K$2:$K$96,MATCH(A454,Spots!$A$2:$A$96,0)),"")="","",IFERROR(INDEX(Spots!$K$2:$K$96,MATCH(A454,Spots!$A$2:$A$96,0)),""))</f>
        <v/>
      </c>
      <c r="L454" s="3">
        <f>IF(OR(K454="",F454=""),"",F454/1000*K454*100)</f>
        <v/>
      </c>
      <c r="M454">
        <f>IF(OR(L454="",L454=0),"",ROUND(100/L454,0))</f>
        <v/>
      </c>
      <c r="N454" t="inlineStr">
        <is>
          <t>low sample</t>
        </is>
      </c>
    </row>
    <row r="455">
      <c r="A455" t="n">
        <v>218</v>
      </c>
      <c r="B455" t="inlineStr">
        <is>
          <t>Event Horizon</t>
        </is>
      </c>
      <c r="C455" t="inlineStr">
        <is>
          <t>White Primordial Pigment - Edana</t>
        </is>
      </c>
      <c r="D455" t="n">
        <v>0.0003214</v>
      </c>
      <c r="E455" t="n">
        <v>6451</v>
      </c>
      <c r="F455" s="3" t="n">
        <v>4.982173306464114e-05</v>
      </c>
      <c r="G455" t="n">
        <v>20071562</v>
      </c>
      <c r="H455" s="3" t="n">
        <v>2.019499319958446e-05</v>
      </c>
      <c r="I455" s="3" t="n">
        <v>0.0001019276527683255</v>
      </c>
      <c r="J455" t="n">
        <v>7.1</v>
      </c>
      <c r="K455">
        <f>IF(IFERROR(INDEX(Spots!$K$2:$K$96,MATCH(A455,Spots!$A$2:$A$96,0)),"")="","",IFERROR(INDEX(Spots!$K$2:$K$96,MATCH(A455,Spots!$A$2:$A$96,0)),""))</f>
        <v/>
      </c>
      <c r="L455" s="3">
        <f>IF(OR(K455="",F455=""),"",F455/1000*K455*100)</f>
        <v/>
      </c>
      <c r="M455">
        <f>IF(OR(L455="",L455=0),"",ROUND(100/L455,0))</f>
        <v/>
      </c>
      <c r="N455" t="inlineStr">
        <is>
          <t>low sample</t>
        </is>
      </c>
    </row>
    <row r="456">
      <c r="A456" t="n">
        <v>218</v>
      </c>
      <c r="B456" t="inlineStr">
        <is>
          <t>Event Horizon</t>
        </is>
      </c>
      <c r="C456" t="inlineStr">
        <is>
          <t>Sunset Primordial Pigment - Edana</t>
        </is>
      </c>
      <c r="D456" t="n">
        <v>0.00019229</v>
      </c>
      <c r="E456" t="n">
        <v>6451</v>
      </c>
      <c r="F456" s="3" t="n">
        <v>2.980778173926523e-05</v>
      </c>
      <c r="G456" t="n">
        <v>33548286</v>
      </c>
      <c r="H456" s="3" t="n">
        <v>8.494711441321264e-06</v>
      </c>
      <c r="I456" s="3" t="n">
        <v>7.416329489429234e-05</v>
      </c>
      <c r="J456" t="n">
        <v>4.3</v>
      </c>
      <c r="K456">
        <f>IF(IFERROR(INDEX(Spots!$K$2:$K$96,MATCH(A456,Spots!$A$2:$A$96,0)),"")="","",IFERROR(INDEX(Spots!$K$2:$K$96,MATCH(A456,Spots!$A$2:$A$96,0)),""))</f>
        <v/>
      </c>
      <c r="L456" s="3">
        <f>IF(OR(K456="",F456=""),"",F456/1000*K456*100)</f>
        <v/>
      </c>
      <c r="M456">
        <f>IF(OR(L456="",L456=0),"",ROUND(100/L456,0))</f>
        <v/>
      </c>
      <c r="N456" t="inlineStr">
        <is>
          <t>low sample</t>
        </is>
      </c>
    </row>
    <row r="457">
      <c r="A457" t="n">
        <v>218</v>
      </c>
      <c r="B457" t="inlineStr">
        <is>
          <t>Event Horizon</t>
        </is>
      </c>
      <c r="C457" t="inlineStr">
        <is>
          <t>Crimson Primordial Pigment - Sovereign</t>
        </is>
      </c>
      <c r="D457" t="n">
        <v>0.00017584</v>
      </c>
      <c r="E457" t="n">
        <v>6451</v>
      </c>
      <c r="F457" s="3" t="n">
        <v>2.725778949000155e-05</v>
      </c>
      <c r="G457" t="n">
        <v>36686761</v>
      </c>
      <c r="H457" s="3" t="n">
        <v>7.185479700809661e-06</v>
      </c>
      <c r="I457" s="3" t="n">
        <v>7.047959083625161e-05</v>
      </c>
      <c r="J457" t="n">
        <v>3.9</v>
      </c>
      <c r="K457">
        <f>IF(IFERROR(INDEX(Spots!$K$2:$K$96,MATCH(A457,Spots!$A$2:$A$96,0)),"")="","",IFERROR(INDEX(Spots!$K$2:$K$96,MATCH(A457,Spots!$A$2:$A$96,0)),""))</f>
        <v/>
      </c>
      <c r="L457" s="3">
        <f>IF(OR(K457="",F457=""),"",F457/1000*K457*100)</f>
        <v/>
      </c>
      <c r="M457">
        <f>IF(OR(L457="",L457=0),"",ROUND(100/L457,0))</f>
        <v/>
      </c>
      <c r="N457" t="inlineStr">
        <is>
          <t>low sample</t>
        </is>
      </c>
    </row>
    <row r="458">
      <c r="A458" t="n">
        <v>218</v>
      </c>
      <c r="B458" t="inlineStr">
        <is>
          <t>Event Horizon</t>
        </is>
      </c>
      <c r="C458" t="inlineStr">
        <is>
          <t>Violet Primordial Pigment - Edana</t>
        </is>
      </c>
      <c r="D458" t="n">
        <v>0.00016044</v>
      </c>
      <c r="E458" t="n">
        <v>6451</v>
      </c>
      <c r="F458" s="3" t="n">
        <v>2.487056270345683e-05</v>
      </c>
      <c r="G458" t="n">
        <v>40208178</v>
      </c>
      <c r="H458" s="3" t="n">
        <v>6.012991212987666e-06</v>
      </c>
      <c r="I458" s="3" t="n">
        <v>6.69898919853044e-05</v>
      </c>
      <c r="J458" t="n">
        <v>3.6</v>
      </c>
      <c r="K458">
        <f>IF(IFERROR(INDEX(Spots!$K$2:$K$96,MATCH(A458,Spots!$A$2:$A$96,0)),"")="","",IFERROR(INDEX(Spots!$K$2:$K$96,MATCH(A458,Spots!$A$2:$A$96,0)),""))</f>
        <v/>
      </c>
      <c r="L458" s="3">
        <f>IF(OR(K458="",F458=""),"",F458/1000*K458*100)</f>
        <v/>
      </c>
      <c r="M458">
        <f>IF(OR(L458="",L458=0),"",ROUND(100/L458,0))</f>
        <v/>
      </c>
      <c r="N458" t="inlineStr">
        <is>
          <t>low sample</t>
        </is>
      </c>
    </row>
    <row r="459">
      <c r="A459" t="n">
        <v>218</v>
      </c>
      <c r="B459" t="inlineStr">
        <is>
          <t>Event Horizon</t>
        </is>
      </c>
      <c r="C459" t="inlineStr">
        <is>
          <t>Violet Primordial Pigment - Sovereign</t>
        </is>
      </c>
      <c r="D459" t="n">
        <v>0.00014658</v>
      </c>
      <c r="E459" t="n">
        <v>6451</v>
      </c>
      <c r="F459" s="3" t="n">
        <v>2.272205859556658e-05</v>
      </c>
      <c r="G459" t="n">
        <v>44010097</v>
      </c>
      <c r="H459" s="3" t="n">
        <v>5.007862351452349e-06</v>
      </c>
      <c r="I459" s="3" t="n">
        <v>6.381107565432984e-05</v>
      </c>
      <c r="J459" t="n">
        <v>3.3</v>
      </c>
      <c r="K459">
        <f>IF(IFERROR(INDEX(Spots!$K$2:$K$96,MATCH(A459,Spots!$A$2:$A$96,0)),"")="","",IFERROR(INDEX(Spots!$K$2:$K$96,MATCH(A459,Spots!$A$2:$A$96,0)),""))</f>
        <v/>
      </c>
      <c r="L459" s="3">
        <f>IF(OR(K459="",F459=""),"",F459/1000*K459*100)</f>
        <v/>
      </c>
      <c r="M459">
        <f>IF(OR(L459="",L459=0),"",ROUND(100/L459,0))</f>
        <v/>
      </c>
      <c r="N459" t="inlineStr">
        <is>
          <t>low sample</t>
        </is>
      </c>
    </row>
    <row r="460">
      <c r="A460" t="n">
        <v>38</v>
      </c>
      <c r="B460" t="inlineStr">
        <is>
          <t>Fadus Habitat</t>
        </is>
      </c>
      <c r="C460" t="inlineStr">
        <is>
          <t>Black Stone</t>
        </is>
      </c>
      <c r="D460" t="n">
        <v>36.373</v>
      </c>
      <c r="E460" t="n">
        <v>9456.299999999999</v>
      </c>
      <c r="F460" s="3" t="n">
        <v>3.846430422046678</v>
      </c>
      <c r="G460" t="n">
        <v>260</v>
      </c>
      <c r="H460" s="3" t="n">
        <v>3.659494440418236</v>
      </c>
      <c r="I460" s="3" t="n">
        <v>4.04044055387775</v>
      </c>
      <c r="J460" t="n">
        <v>1587.1</v>
      </c>
      <c r="K460">
        <f>IF(IFERROR(INDEX(Spots!$K$2:$K$96,MATCH(A460,Spots!$A$2:$A$96,0)),"")="","",IFERROR(INDEX(Spots!$K$2:$K$96,MATCH(A460,Spots!$A$2:$A$96,0)),""))</f>
        <v/>
      </c>
      <c r="L460" s="3">
        <f>IF(OR(K460="",F460=""),"",F460/1000*K460*100)</f>
        <v/>
      </c>
      <c r="M460">
        <f>IF(OR(L460="",L460=0),"",ROUND(100/L460,0))</f>
        <v/>
      </c>
      <c r="N460" t="inlineStr">
        <is>
          <t>low sample</t>
        </is>
      </c>
    </row>
    <row r="461">
      <c r="A461" t="n">
        <v>38</v>
      </c>
      <c r="B461" t="inlineStr">
        <is>
          <t>Fadus Habitat</t>
        </is>
      </c>
      <c r="C461" t="inlineStr">
        <is>
          <t>Trace of Nature</t>
        </is>
      </c>
      <c r="D461" t="n">
        <v>15.017</v>
      </c>
      <c r="E461" t="n">
        <v>9456.299999999999</v>
      </c>
      <c r="F461" s="3" t="n">
        <v>1.588041834544166</v>
      </c>
      <c r="G461" t="n">
        <v>630</v>
      </c>
      <c r="H461" s="3" t="n">
        <v>1.468756485552548</v>
      </c>
      <c r="I461" s="3" t="n">
        <v>1.714434026684174</v>
      </c>
      <c r="J461" t="n">
        <v>655.2</v>
      </c>
      <c r="K461">
        <f>IF(IFERROR(INDEX(Spots!$K$2:$K$96,MATCH(A461,Spots!$A$2:$A$96,0)),"")="","",IFERROR(INDEX(Spots!$K$2:$K$96,MATCH(A461,Spots!$A$2:$A$96,0)),""))</f>
        <v/>
      </c>
      <c r="L461" s="3">
        <f>IF(OR(K461="",F461=""),"",F461/1000*K461*100)</f>
        <v/>
      </c>
      <c r="M461">
        <f>IF(OR(L461="",L461=0),"",ROUND(100/L461,0))</f>
        <v/>
      </c>
      <c r="N461" t="inlineStr">
        <is>
          <t>low sample</t>
        </is>
      </c>
    </row>
    <row r="462">
      <c r="A462" t="n">
        <v>38</v>
      </c>
      <c r="B462" t="inlineStr">
        <is>
          <t>Fadus Habitat</t>
        </is>
      </c>
      <c r="C462" t="inlineStr">
        <is>
          <t>Ancient Spirit Dust</t>
        </is>
      </c>
      <c r="D462" t="n">
        <v>10.76</v>
      </c>
      <c r="E462" t="n">
        <v>9456.299999999999</v>
      </c>
      <c r="F462" s="3" t="n">
        <v>1.137865761450039</v>
      </c>
      <c r="G462" t="n">
        <v>879</v>
      </c>
      <c r="H462" s="3" t="n">
        <v>1.037250786927084</v>
      </c>
      <c r="I462" s="3" t="n">
        <v>1.245604084631746</v>
      </c>
      <c r="J462" t="n">
        <v>469.5</v>
      </c>
      <c r="K462">
        <f>IF(IFERROR(INDEX(Spots!$K$2:$K$96,MATCH(A462,Spots!$A$2:$A$96,0)),"")="","",IFERROR(INDEX(Spots!$K$2:$K$96,MATCH(A462,Spots!$A$2:$A$96,0)),""))</f>
        <v/>
      </c>
      <c r="L462" s="3">
        <f>IF(OR(K462="",F462=""),"",F462/1000*K462*100)</f>
        <v/>
      </c>
      <c r="M462">
        <f>IF(OR(L462="",L462=0),"",ROUND(100/L462,0))</f>
        <v/>
      </c>
      <c r="N462" t="inlineStr">
        <is>
          <t>low sample</t>
        </is>
      </c>
    </row>
    <row r="463">
      <c r="A463" t="n">
        <v>38</v>
      </c>
      <c r="B463" t="inlineStr">
        <is>
          <t>Fadus Habitat</t>
        </is>
      </c>
      <c r="C463" t="inlineStr">
        <is>
          <t>Earth Spirit Stone Fragment</t>
        </is>
      </c>
      <c r="D463" t="n">
        <v>10.006</v>
      </c>
      <c r="E463" t="n">
        <v>9456.299999999999</v>
      </c>
      <c r="F463" s="3" t="n">
        <v>1.05813055846367</v>
      </c>
      <c r="G463" t="n">
        <v>945</v>
      </c>
      <c r="H463" s="3" t="n">
        <v>0.9611879749729265</v>
      </c>
      <c r="I463" s="3" t="n">
        <v>1.16220045935603</v>
      </c>
      <c r="J463" t="n">
        <v>436.6</v>
      </c>
      <c r="K463">
        <f>IF(IFERROR(INDEX(Spots!$K$2:$K$96,MATCH(A463,Spots!$A$2:$A$96,0)),"")="","",IFERROR(INDEX(Spots!$K$2:$K$96,MATCH(A463,Spots!$A$2:$A$96,0)),""))</f>
        <v/>
      </c>
      <c r="L463" s="3">
        <f>IF(OR(K463="",F463=""),"",F463/1000*K463*100)</f>
        <v/>
      </c>
      <c r="M463">
        <f>IF(OR(L463="",L463=0),"",ROUND(100/L463,0))</f>
        <v/>
      </c>
      <c r="N463" t="inlineStr">
        <is>
          <t>low sample</t>
        </is>
      </c>
    </row>
    <row r="464">
      <c r="A464" t="n">
        <v>38</v>
      </c>
      <c r="B464" t="inlineStr">
        <is>
          <t>Fadus Habitat</t>
        </is>
      </c>
      <c r="C464" t="inlineStr">
        <is>
          <t>Caphras Stone</t>
        </is>
      </c>
      <c r="D464" t="n">
        <v>5.96092</v>
      </c>
      <c r="E464" t="n">
        <v>9456.299999999999</v>
      </c>
      <c r="F464" s="3" t="n">
        <v>0.6303649418905914</v>
      </c>
      <c r="G464" t="n">
        <v>1586</v>
      </c>
      <c r="H464" s="3" t="n">
        <v>0.5560736854309708</v>
      </c>
      <c r="I464" s="3" t="n">
        <v>0.7118162750703362</v>
      </c>
      <c r="J464" t="n">
        <v>260.1</v>
      </c>
      <c r="K464">
        <f>IF(IFERROR(INDEX(Spots!$K$2:$K$96,MATCH(A464,Spots!$A$2:$A$96,0)),"")="","",IFERROR(INDEX(Spots!$K$2:$K$96,MATCH(A464,Spots!$A$2:$A$96,0)),""))</f>
        <v/>
      </c>
      <c r="L464" s="3">
        <f>IF(OR(K464="",F464=""),"",F464/1000*K464*100)</f>
        <v/>
      </c>
      <c r="M464">
        <f>IF(OR(L464="",L464=0),"",ROUND(100/L464,0))</f>
        <v/>
      </c>
      <c r="N464" t="inlineStr">
        <is>
          <t>low sample</t>
        </is>
      </c>
    </row>
    <row r="465">
      <c r="A465" t="n">
        <v>38</v>
      </c>
      <c r="B465" t="inlineStr">
        <is>
          <t>Fadus Habitat</t>
        </is>
      </c>
      <c r="C465" t="inlineStr">
        <is>
          <t>Guardian Spirit Stone</t>
        </is>
      </c>
      <c r="D465" t="n">
        <v>3.756988</v>
      </c>
      <c r="E465" t="n">
        <v>9456.299999999999</v>
      </c>
      <c r="F465" s="3" t="n">
        <v>0.3973000010574961</v>
      </c>
      <c r="G465" t="n">
        <v>2517</v>
      </c>
      <c r="H465" s="3" t="n">
        <v>0.3388038297954425</v>
      </c>
      <c r="I465" s="3" t="n">
        <v>0.4629932415692699</v>
      </c>
      <c r="J465" t="n">
        <v>163.9</v>
      </c>
      <c r="K465">
        <f>IF(IFERROR(INDEX(Spots!$K$2:$K$96,MATCH(A465,Spots!$A$2:$A$96,0)),"")="","",IFERROR(INDEX(Spots!$K$2:$K$96,MATCH(A465,Spots!$A$2:$A$96,0)),""))</f>
        <v/>
      </c>
      <c r="L465" s="3">
        <f>IF(OR(K465="",F465=""),"",F465/1000*K465*100)</f>
        <v/>
      </c>
      <c r="M465">
        <f>IF(OR(L465="",L465=0),"",ROUND(100/L465,0))</f>
        <v/>
      </c>
      <c r="N465" t="inlineStr">
        <is>
          <t>low sample</t>
        </is>
      </c>
    </row>
    <row r="466">
      <c r="A466" t="n">
        <v>38</v>
      </c>
      <c r="B466" t="inlineStr">
        <is>
          <t>Fadus Habitat</t>
        </is>
      </c>
      <c r="C466" t="inlineStr">
        <is>
          <t>Swaying Wind Shard</t>
        </is>
      </c>
      <c r="D466" t="n">
        <v>2.267354</v>
      </c>
      <c r="E466" t="n">
        <v>9456.299999999999</v>
      </c>
      <c r="F466" s="3" t="n">
        <v>0.2397717923500735</v>
      </c>
      <c r="G466" t="n">
        <v>4171</v>
      </c>
      <c r="H466" s="3" t="n">
        <v>0.1948547598511936</v>
      </c>
      <c r="I466" s="3" t="n">
        <v>0.291936933042017</v>
      </c>
      <c r="J466" t="n">
        <v>98.90000000000001</v>
      </c>
      <c r="K466">
        <f>IF(IFERROR(INDEX(Spots!$K$2:$K$96,MATCH(A466,Spots!$A$2:$A$96,0)),"")="","",IFERROR(INDEX(Spots!$K$2:$K$96,MATCH(A466,Spots!$A$2:$A$96,0)),""))</f>
        <v/>
      </c>
      <c r="L466" s="3">
        <f>IF(OR(K466="",F466=""),"",F466/1000*K466*100)</f>
        <v/>
      </c>
      <c r="M466">
        <f>IF(OR(L466="",L466=0),"",ROUND(100/L466,0))</f>
        <v/>
      </c>
      <c r="N466" t="inlineStr">
        <is>
          <t>low sample</t>
        </is>
      </c>
    </row>
    <row r="467">
      <c r="A467" t="n">
        <v>38</v>
      </c>
      <c r="B467" t="inlineStr">
        <is>
          <t>Fadus Habitat</t>
        </is>
      </c>
      <c r="C467" t="inlineStr">
        <is>
          <t>Destruction Spirit Stone</t>
        </is>
      </c>
      <c r="D467" t="n">
        <v>2.112038</v>
      </c>
      <c r="E467" t="n">
        <v>9456.299999999999</v>
      </c>
      <c r="F467" s="3" t="n">
        <v>0.2233471865317302</v>
      </c>
      <c r="G467" t="n">
        <v>4477</v>
      </c>
      <c r="H467" s="3" t="n">
        <v>0.1800783162323729</v>
      </c>
      <c r="I467" s="3" t="n">
        <v>0.273872368078163</v>
      </c>
      <c r="J467" t="n">
        <v>92.2</v>
      </c>
      <c r="K467">
        <f>IF(IFERROR(INDEX(Spots!$K$2:$K$96,MATCH(A467,Spots!$A$2:$A$96,0)),"")="","",IFERROR(INDEX(Spots!$K$2:$K$96,MATCH(A467,Spots!$A$2:$A$96,0)),""))</f>
        <v/>
      </c>
      <c r="L467" s="3">
        <f>IF(OR(K467="",F467=""),"",F467/1000*K467*100)</f>
        <v/>
      </c>
      <c r="M467">
        <f>IF(OR(L467="",L467=0),"",ROUND(100/L467,0))</f>
        <v/>
      </c>
      <c r="N467" t="inlineStr">
        <is>
          <t>low sample</t>
        </is>
      </c>
    </row>
    <row r="468">
      <c r="A468" t="n">
        <v>38</v>
      </c>
      <c r="B468" t="inlineStr">
        <is>
          <t>Fadus Habitat</t>
        </is>
      </c>
      <c r="C468" t="inlineStr">
        <is>
          <t>Manshaum Voodoo Doll</t>
        </is>
      </c>
      <c r="D468" t="n">
        <v>1.89062</v>
      </c>
      <c r="E468" t="n">
        <v>9456.299999999999</v>
      </c>
      <c r="F468" s="3" t="n">
        <v>0.1999323202521071</v>
      </c>
      <c r="G468" t="n">
        <v>5002</v>
      </c>
      <c r="H468" s="3" t="n">
        <v>0.1591218595066639</v>
      </c>
      <c r="I468" s="3" t="n">
        <v>0.2480124556854087</v>
      </c>
      <c r="J468" t="n">
        <v>82.5</v>
      </c>
      <c r="K468">
        <f>IF(IFERROR(INDEX(Spots!$K$2:$K$96,MATCH(A468,Spots!$A$2:$A$96,0)),"")="","",IFERROR(INDEX(Spots!$K$2:$K$96,MATCH(A468,Spots!$A$2:$A$96,0)),""))</f>
        <v/>
      </c>
      <c r="L468" s="3">
        <f>IF(OR(K468="",F468=""),"",F468/1000*K468*100)</f>
        <v/>
      </c>
      <c r="M468">
        <f>IF(OR(L468="",L468=0),"",ROUND(100/L468,0))</f>
        <v/>
      </c>
      <c r="N468" t="inlineStr">
        <is>
          <t>low sample</t>
        </is>
      </c>
    </row>
    <row r="469">
      <c r="A469" t="n">
        <v>38</v>
      </c>
      <c r="B469" t="inlineStr">
        <is>
          <t>Fadus Habitat</t>
        </is>
      </c>
      <c r="C469" t="inlineStr">
        <is>
          <t>Bares Main Weapon Box</t>
        </is>
      </c>
      <c r="D469" t="n">
        <v>1.142079</v>
      </c>
      <c r="E469" t="n">
        <v>9456.299999999999</v>
      </c>
      <c r="F469" s="3" t="n">
        <v>0.1207744043653438</v>
      </c>
      <c r="G469" t="n">
        <v>8280</v>
      </c>
      <c r="H469" s="3" t="n">
        <v>0.08958544164550952</v>
      </c>
      <c r="I469" s="3" t="n">
        <v>0.1593033989561558</v>
      </c>
      <c r="J469" t="n">
        <v>49.8</v>
      </c>
      <c r="K469">
        <f>IF(IFERROR(INDEX(Spots!$K$2:$K$96,MATCH(A469,Spots!$A$2:$A$96,0)),"")="","",IFERROR(INDEX(Spots!$K$2:$K$96,MATCH(A469,Spots!$A$2:$A$96,0)),""))</f>
        <v/>
      </c>
      <c r="L469" s="3">
        <f>IF(OR(K469="",F469=""),"",F469/1000*K469*100)</f>
        <v/>
      </c>
      <c r="M469">
        <f>IF(OR(L469="",L469=0),"",ROUND(100/L469,0))</f>
        <v/>
      </c>
      <c r="N469" t="inlineStr">
        <is>
          <t>low sample</t>
        </is>
      </c>
    </row>
    <row r="470">
      <c r="A470" t="n">
        <v>38</v>
      </c>
      <c r="B470" t="inlineStr">
        <is>
          <t>Fadus Habitat</t>
        </is>
      </c>
      <c r="C470" t="inlineStr">
        <is>
          <t>Mass of Pure Magic</t>
        </is>
      </c>
      <c r="D470" t="n">
        <v>1.0626</v>
      </c>
      <c r="E470" t="n">
        <v>9456.299999999999</v>
      </c>
      <c r="F470" s="3" t="n">
        <v>0.1123695314234955</v>
      </c>
      <c r="G470" t="n">
        <v>8899</v>
      </c>
      <c r="H470" s="3" t="n">
        <v>0.08236999027255641</v>
      </c>
      <c r="I470" s="3" t="n">
        <v>0.1497205794090909</v>
      </c>
      <c r="J470" t="n">
        <v>46.4</v>
      </c>
      <c r="K470">
        <f>IF(IFERROR(INDEX(Spots!$K$2:$K$96,MATCH(A470,Spots!$A$2:$A$96,0)),"")="","",IFERROR(INDEX(Spots!$K$2:$K$96,MATCH(A470,Spots!$A$2:$A$96,0)),""))</f>
        <v/>
      </c>
      <c r="L470" s="3">
        <f>IF(OR(K470="",F470=""),"",F470/1000*K470*100)</f>
        <v/>
      </c>
      <c r="M470">
        <f>IF(OR(L470="",L470=0),"",ROUND(100/L470,0))</f>
        <v/>
      </c>
      <c r="N470" t="inlineStr">
        <is>
          <t>low sample</t>
        </is>
      </c>
    </row>
    <row r="471">
      <c r="A471" t="n">
        <v>38</v>
      </c>
      <c r="B471" t="inlineStr">
        <is>
          <t>Fadus Habitat</t>
        </is>
      </c>
      <c r="C471" t="inlineStr">
        <is>
          <t>Atanis' Element</t>
        </is>
      </c>
      <c r="D471" t="n">
        <v>0.97957091</v>
      </c>
      <c r="E471" t="n">
        <v>9456.299999999999</v>
      </c>
      <c r="F471" s="3" t="n">
        <v>0.103589237862589</v>
      </c>
      <c r="G471" t="n">
        <v>9654</v>
      </c>
      <c r="H471" s="3" t="n">
        <v>0.07488091254333547</v>
      </c>
      <c r="I471" s="3" t="n">
        <v>0.1396624743113722</v>
      </c>
      <c r="J471" t="n">
        <v>42.7</v>
      </c>
      <c r="K471">
        <f>IF(IFERROR(INDEX(Spots!$K$2:$K$96,MATCH(A471,Spots!$A$2:$A$96,0)),"")="","",IFERROR(INDEX(Spots!$K$2:$K$96,MATCH(A471,Spots!$A$2:$A$96,0)),""))</f>
        <v/>
      </c>
      <c r="L471" s="3">
        <f>IF(OR(K471="",F471=""),"",F471/1000*K471*100)</f>
        <v/>
      </c>
      <c r="M471">
        <f>IF(OR(L471="",L471=0),"",ROUND(100/L471,0))</f>
        <v/>
      </c>
      <c r="N471" t="inlineStr">
        <is>
          <t>low sample</t>
        </is>
      </c>
    </row>
    <row r="472">
      <c r="A472" t="n">
        <v>38</v>
      </c>
      <c r="B472" t="inlineStr">
        <is>
          <t>Fadus Habitat</t>
        </is>
      </c>
      <c r="C472" t="inlineStr">
        <is>
          <t>Yuria Main Weapon Box</t>
        </is>
      </c>
      <c r="D472" t="n">
        <v>0.9234512499999999</v>
      </c>
      <c r="E472" t="n">
        <v>9456.299999999999</v>
      </c>
      <c r="F472" s="3" t="n">
        <v>0.09765460592409293</v>
      </c>
      <c r="G472" t="n">
        <v>10240</v>
      </c>
      <c r="H472" s="3" t="n">
        <v>0.06985035284378519</v>
      </c>
      <c r="I472" s="3" t="n">
        <v>0.1328338046042141</v>
      </c>
      <c r="J472" t="n">
        <v>40.3</v>
      </c>
      <c r="K472">
        <f>IF(IFERROR(INDEX(Spots!$K$2:$K$96,MATCH(A472,Spots!$A$2:$A$96,0)),"")="","",IFERROR(INDEX(Spots!$K$2:$K$96,MATCH(A472,Spots!$A$2:$A$96,0)),""))</f>
        <v/>
      </c>
      <c r="L472" s="3">
        <f>IF(OR(K472="",F472=""),"",F472/1000*K472*100)</f>
        <v/>
      </c>
      <c r="M472">
        <f>IF(OR(L472="",L472=0),"",ROUND(100/L472,0))</f>
        <v/>
      </c>
      <c r="N472" t="inlineStr">
        <is>
          <t>low sample</t>
        </is>
      </c>
    </row>
    <row r="473">
      <c r="A473" t="n">
        <v>38</v>
      </c>
      <c r="B473" t="inlineStr">
        <is>
          <t>Fadus Habitat</t>
        </is>
      </c>
      <c r="C473" t="inlineStr">
        <is>
          <t>Imperfect Lightstone of Fire</t>
        </is>
      </c>
      <c r="D473" t="n">
        <v>0.50958002</v>
      </c>
      <c r="E473" t="n">
        <v>9456.299999999999</v>
      </c>
      <c r="F473" s="3" t="n">
        <v>0.05388788638262323</v>
      </c>
      <c r="G473" t="n">
        <v>18557</v>
      </c>
      <c r="H473" s="3" t="n">
        <v>0.0338528465539527</v>
      </c>
      <c r="I473" s="3" t="n">
        <v>0.08141519788098381</v>
      </c>
      <c r="J473" t="n">
        <v>22.2</v>
      </c>
      <c r="K473">
        <f>IF(IFERROR(INDEX(Spots!$K$2:$K$96,MATCH(A473,Spots!$A$2:$A$96,0)),"")="","",IFERROR(INDEX(Spots!$K$2:$K$96,MATCH(A473,Spots!$A$2:$A$96,0)),""))</f>
        <v/>
      </c>
      <c r="L473" s="3">
        <f>IF(OR(K473="",F473=""),"",F473/1000*K473*100)</f>
        <v/>
      </c>
      <c r="M473">
        <f>IF(OR(L473="",L473=0),"",ROUND(100/L473,0))</f>
        <v/>
      </c>
      <c r="N473" t="inlineStr">
        <is>
          <t>low sample</t>
        </is>
      </c>
    </row>
    <row r="474">
      <c r="A474" t="n">
        <v>38</v>
      </c>
      <c r="B474" t="inlineStr">
        <is>
          <t>Fadus Habitat</t>
        </is>
      </c>
      <c r="C474" t="inlineStr">
        <is>
          <t>Lemoria Helmet</t>
        </is>
      </c>
      <c r="D474" t="n">
        <v>0.22931782</v>
      </c>
      <c r="E474" t="n">
        <v>9456.299999999999</v>
      </c>
      <c r="F474" s="3" t="n">
        <v>0.02425026913274748</v>
      </c>
      <c r="G474" t="n">
        <v>41237</v>
      </c>
      <c r="H474" s="3" t="n">
        <v>0.01161253054418754</v>
      </c>
      <c r="I474" s="3" t="n">
        <v>0.04459245606748843</v>
      </c>
      <c r="J474" t="n">
        <v>10</v>
      </c>
      <c r="K474">
        <f>IF(IFERROR(INDEX(Spots!$K$2:$K$96,MATCH(A474,Spots!$A$2:$A$96,0)),"")="","",IFERROR(INDEX(Spots!$K$2:$K$96,MATCH(A474,Spots!$A$2:$A$96,0)),""))</f>
        <v/>
      </c>
      <c r="L474" s="3">
        <f>IF(OR(K474="",F474=""),"",F474/1000*K474*100)</f>
        <v/>
      </c>
      <c r="M474">
        <f>IF(OR(L474="",L474=0),"",ROUND(100/L474,0))</f>
        <v/>
      </c>
      <c r="N474" t="inlineStr">
        <is>
          <t>low sample</t>
        </is>
      </c>
    </row>
    <row r="475">
      <c r="A475" t="n">
        <v>38</v>
      </c>
      <c r="B475" t="inlineStr">
        <is>
          <t>Fadus Habitat</t>
        </is>
      </c>
      <c r="C475" t="inlineStr">
        <is>
          <t>Lemoria Gloves</t>
        </is>
      </c>
      <c r="D475" t="n">
        <v>0.22592867</v>
      </c>
      <c r="E475" t="n">
        <v>9456.299999999999</v>
      </c>
      <c r="F475" s="3" t="n">
        <v>0.02389186785529224</v>
      </c>
      <c r="G475" t="n">
        <v>41855</v>
      </c>
      <c r="H475" s="3" t="n">
        <v>0.01136605135212404</v>
      </c>
      <c r="I475" s="3" t="n">
        <v>0.04412676402306141</v>
      </c>
      <c r="J475" t="n">
        <v>9.9</v>
      </c>
      <c r="K475">
        <f>IF(IFERROR(INDEX(Spots!$K$2:$K$96,MATCH(A475,Spots!$A$2:$A$96,0)),"")="","",IFERROR(INDEX(Spots!$K$2:$K$96,MATCH(A475,Spots!$A$2:$A$96,0)),""))</f>
        <v/>
      </c>
      <c r="L475" s="3">
        <f>IF(OR(K475="",F475=""),"",F475/1000*K475*100)</f>
        <v/>
      </c>
      <c r="M475">
        <f>IF(OR(L475="",L475=0),"",ROUND(100/L475,0))</f>
        <v/>
      </c>
      <c r="N475" t="inlineStr">
        <is>
          <t>low sample</t>
        </is>
      </c>
    </row>
    <row r="476">
      <c r="A476" t="n">
        <v>38</v>
      </c>
      <c r="B476" t="inlineStr">
        <is>
          <t>Fadus Habitat</t>
        </is>
      </c>
      <c r="C476" t="inlineStr">
        <is>
          <t>Forest Fury</t>
        </is>
      </c>
      <c r="D476" t="n">
        <v>0.19836543</v>
      </c>
      <c r="E476" t="n">
        <v>9456.299999999999</v>
      </c>
      <c r="F476" s="3" t="n">
        <v>0.02097706608292885</v>
      </c>
      <c r="G476" t="n">
        <v>47671</v>
      </c>
      <c r="H476" s="3" t="n">
        <v>0.009394735759807371</v>
      </c>
      <c r="I476" s="3" t="n">
        <v>0.04031006199208179</v>
      </c>
      <c r="J476" t="n">
        <v>8.699999999999999</v>
      </c>
      <c r="K476">
        <f>IF(IFERROR(INDEX(Spots!$K$2:$K$96,MATCH(A476,Spots!$A$2:$A$96,0)),"")="","",IFERROR(INDEX(Spots!$K$2:$K$96,MATCH(A476,Spots!$A$2:$A$96,0)),""))</f>
        <v/>
      </c>
      <c r="L476" s="3">
        <f>IF(OR(K476="",F476=""),"",F476/1000*K476*100)</f>
        <v/>
      </c>
      <c r="M476">
        <f>IF(OR(L476="",L476=0),"",ROUND(100/L476,0))</f>
        <v/>
      </c>
      <c r="N476" t="inlineStr">
        <is>
          <t>low sample</t>
        </is>
      </c>
    </row>
    <row r="477">
      <c r="A477" t="n">
        <v>38</v>
      </c>
      <c r="B477" t="inlineStr">
        <is>
          <t>Fadus Habitat</t>
        </is>
      </c>
      <c r="C477" t="inlineStr">
        <is>
          <t>Any Artifact</t>
        </is>
      </c>
      <c r="D477" t="n">
        <v>0.10688576</v>
      </c>
      <c r="E477" t="n">
        <v>9456.299999999999</v>
      </c>
      <c r="F477" s="3" t="n">
        <v>0.01130312701585187</v>
      </c>
      <c r="G477" t="n">
        <v>88471</v>
      </c>
      <c r="H477" s="3" t="n">
        <v>0.003455389714715381</v>
      </c>
      <c r="I477" s="3" t="n">
        <v>0.02712698136022659</v>
      </c>
      <c r="J477" t="n">
        <v>4.7</v>
      </c>
      <c r="K477">
        <f>IF(IFERROR(INDEX(Spots!$K$2:$K$96,MATCH(A477,Spots!$A$2:$A$96,0)),"")="","",IFERROR(INDEX(Spots!$K$2:$K$96,MATCH(A477,Spots!$A$2:$A$96,0)),""))</f>
        <v/>
      </c>
      <c r="L477" s="3">
        <f>IF(OR(K477="",F477=""),"",F477/1000*K477*100)</f>
        <v/>
      </c>
      <c r="M477">
        <f>IF(OR(L477="",L477=0),"",ROUND(100/L477,0))</f>
        <v/>
      </c>
      <c r="N477" t="inlineStr">
        <is>
          <t>low sample</t>
        </is>
      </c>
    </row>
    <row r="478">
      <c r="A478" t="n">
        <v>38</v>
      </c>
      <c r="B478" t="inlineStr">
        <is>
          <t>Fadus Habitat</t>
        </is>
      </c>
      <c r="C478" t="inlineStr">
        <is>
          <t>Imperfect Lightstone of Earth</t>
        </is>
      </c>
      <c r="D478" t="n">
        <v>0.08442552</v>
      </c>
      <c r="E478" t="n">
        <v>9456.299999999999</v>
      </c>
      <c r="F478" s="3" t="n">
        <v>0.008927965483328576</v>
      </c>
      <c r="G478" t="n">
        <v>112008</v>
      </c>
      <c r="H478" s="3" t="n">
        <v>0.002226444787212649</v>
      </c>
      <c r="I478" s="3" t="n">
        <v>0.0237034012463708</v>
      </c>
      <c r="J478" t="n">
        <v>3.7</v>
      </c>
      <c r="K478">
        <f>IF(IFERROR(INDEX(Spots!$K$2:$K$96,MATCH(A478,Spots!$A$2:$A$96,0)),"")="","",IFERROR(INDEX(Spots!$K$2:$K$96,MATCH(A478,Spots!$A$2:$A$96,0)),""))</f>
        <v/>
      </c>
      <c r="L478" s="3">
        <f>IF(OR(K478="",F478=""),"",F478/1000*K478*100)</f>
        <v/>
      </c>
      <c r="M478">
        <f>IF(OR(L478="",L478=0),"",ROUND(100/L478,0))</f>
        <v/>
      </c>
      <c r="N478" t="inlineStr">
        <is>
          <t>low sample</t>
        </is>
      </c>
    </row>
    <row r="479">
      <c r="A479" t="n">
        <v>38</v>
      </c>
      <c r="B479" t="inlineStr">
        <is>
          <t>Fadus Habitat</t>
        </is>
      </c>
      <c r="C479" t="inlineStr">
        <is>
          <t>Imperfect Lightstone of Wind</t>
        </is>
      </c>
      <c r="D479" t="n">
        <v>0.07570813</v>
      </c>
      <c r="E479" t="n">
        <v>9456.299999999999</v>
      </c>
      <c r="F479" s="3" t="n">
        <v>0.008006104924759156</v>
      </c>
      <c r="G479" t="n">
        <v>124905</v>
      </c>
      <c r="H479" s="3" t="n">
        <v>0.001789681841358179</v>
      </c>
      <c r="I479" s="3" t="n">
        <v>0.02234361538850633</v>
      </c>
      <c r="J479" t="n">
        <v>3.3</v>
      </c>
      <c r="K479">
        <f>IF(IFERROR(INDEX(Spots!$K$2:$K$96,MATCH(A479,Spots!$A$2:$A$96,0)),"")="","",IFERROR(INDEX(Spots!$K$2:$K$96,MATCH(A479,Spots!$A$2:$A$96,0)),""))</f>
        <v/>
      </c>
      <c r="L479" s="3">
        <f>IF(OR(K479="",F479=""),"",F479/1000*K479*100)</f>
        <v/>
      </c>
      <c r="M479">
        <f>IF(OR(L479="",L479=0),"",ROUND(100/L479,0))</f>
        <v/>
      </c>
      <c r="N479" t="inlineStr">
        <is>
          <t>low sample</t>
        </is>
      </c>
    </row>
    <row r="480">
      <c r="A480" t="n">
        <v>38</v>
      </c>
      <c r="B480" t="inlineStr">
        <is>
          <t>Fadus Habitat</t>
        </is>
      </c>
      <c r="C480" t="inlineStr">
        <is>
          <t>Great Marni's Stone (Fadus)</t>
        </is>
      </c>
      <c r="D480" t="n">
        <v>0.01621948</v>
      </c>
      <c r="E480" t="n">
        <v>9456.299999999999</v>
      </c>
      <c r="F480" s="3" t="n">
        <v>0.001715203620866512</v>
      </c>
      <c r="G480" t="n">
        <v>583021</v>
      </c>
      <c r="H480" s="3" t="n">
        <v>5.017173826583166e-07</v>
      </c>
      <c r="I480" s="3" t="n">
        <v>0.0122272153429652</v>
      </c>
      <c r="J480" t="n">
        <v>0.7</v>
      </c>
      <c r="K480">
        <f>IF(IFERROR(INDEX(Spots!$K$2:$K$96,MATCH(A480,Spots!$A$2:$A$96,0)),"")="","",IFERROR(INDEX(Spots!$K$2:$K$96,MATCH(A480,Spots!$A$2:$A$96,0)),""))</f>
        <v/>
      </c>
      <c r="L480" s="3">
        <f>IF(OR(K480="",F480=""),"",F480/1000*K480*100)</f>
        <v/>
      </c>
      <c r="M480">
        <f>IF(OR(L480="",L480=0),"",ROUND(100/L480,0))</f>
        <v/>
      </c>
      <c r="N480" t="inlineStr">
        <is>
          <t>low sample</t>
        </is>
      </c>
    </row>
    <row r="481">
      <c r="A481" t="n">
        <v>38</v>
      </c>
      <c r="B481" t="inlineStr">
        <is>
          <t>Fadus Habitat</t>
        </is>
      </c>
      <c r="C481" t="inlineStr">
        <is>
          <t>Specter's Energy</t>
        </is>
      </c>
      <c r="D481" t="n">
        <v>0.00727563</v>
      </c>
      <c r="E481" t="n">
        <v>9456.299999999999</v>
      </c>
      <c r="F481" s="3" t="n">
        <v>0.0007693950065036008</v>
      </c>
      <c r="G481" t="n">
        <v>1299722</v>
      </c>
      <c r="H481" s="3" t="n">
        <v>0</v>
      </c>
      <c r="I481" s="3" t="n">
        <v>0.01045341090142366</v>
      </c>
      <c r="J481" t="n">
        <v>0.3</v>
      </c>
      <c r="K481">
        <f>IF(IFERROR(INDEX(Spots!$K$2:$K$96,MATCH(A481,Spots!$A$2:$A$96,0)),"")="","",IFERROR(INDEX(Spots!$K$2:$K$96,MATCH(A481,Spots!$A$2:$A$96,0)),""))</f>
        <v/>
      </c>
      <c r="L481" s="3">
        <f>IF(OR(K481="",F481=""),"",F481/1000*K481*100)</f>
        <v/>
      </c>
      <c r="M481">
        <f>IF(OR(L481="",L481=0),"",ROUND(100/L481,0))</f>
        <v/>
      </c>
      <c r="N481" t="inlineStr">
        <is>
          <t>low sample</t>
        </is>
      </c>
    </row>
    <row r="482">
      <c r="A482" t="n">
        <v>26</v>
      </c>
      <c r="B482" t="inlineStr">
        <is>
          <t>Forest Ronaros Area</t>
        </is>
      </c>
      <c r="C482" t="inlineStr">
        <is>
          <t>Black Stone</t>
        </is>
      </c>
      <c r="D482" t="n">
        <v>15.442</v>
      </c>
      <c r="E482" t="n">
        <v>5148.5</v>
      </c>
      <c r="F482" s="3" t="n">
        <v>2.999320190346703</v>
      </c>
      <c r="G482" t="n">
        <v>333</v>
      </c>
      <c r="H482" s="3" t="n">
        <v>2.855221760853332</v>
      </c>
      <c r="I482" s="3" t="n">
        <v>3.148807214478638</v>
      </c>
      <c r="J482" t="n">
        <v>1624.5</v>
      </c>
      <c r="K482">
        <f>IF(IFERROR(INDEX(Spots!$K$2:$K$96,MATCH(A482,Spots!$A$2:$A$96,0)),"")="","",IFERROR(INDEX(Spots!$K$2:$K$96,MATCH(A482,Spots!$A$2:$A$96,0)),""))</f>
        <v/>
      </c>
      <c r="L482" s="3">
        <f>IF(OR(K482="",F482=""),"",F482/1000*K482*100)</f>
        <v/>
      </c>
      <c r="M482">
        <f>IF(OR(L482="",L482=0),"",ROUND(100/L482,0))</f>
        <v/>
      </c>
      <c r="N482" t="inlineStr"/>
    </row>
    <row r="483">
      <c r="A483" t="n">
        <v>26</v>
      </c>
      <c r="B483" t="inlineStr">
        <is>
          <t>Forest Ronaros Area</t>
        </is>
      </c>
      <c r="C483" t="inlineStr">
        <is>
          <t>Caphras Stone</t>
        </is>
      </c>
      <c r="D483" t="n">
        <v>10.453</v>
      </c>
      <c r="E483" t="n">
        <v>5148.5</v>
      </c>
      <c r="F483" s="3" t="n">
        <v>2.030300087404098</v>
      </c>
      <c r="G483" t="n">
        <v>493</v>
      </c>
      <c r="H483" s="3" t="n">
        <v>1.912055598606479</v>
      </c>
      <c r="I483" s="3" t="n">
        <v>2.153942724283759</v>
      </c>
      <c r="J483" t="n">
        <v>1099.7</v>
      </c>
      <c r="K483">
        <f>IF(IFERROR(INDEX(Spots!$K$2:$K$96,MATCH(A483,Spots!$A$2:$A$96,0)),"")="","",IFERROR(INDEX(Spots!$K$2:$K$96,MATCH(A483,Spots!$A$2:$A$96,0)),""))</f>
        <v/>
      </c>
      <c r="L483" s="3">
        <f>IF(OR(K483="",F483=""),"",F483/1000*K483*100)</f>
        <v/>
      </c>
      <c r="M483">
        <f>IF(OR(L483="",L483=0),"",ROUND(100/L483,0))</f>
        <v/>
      </c>
      <c r="N483" t="inlineStr"/>
    </row>
    <row r="484">
      <c r="A484" t="n">
        <v>26</v>
      </c>
      <c r="B484" t="inlineStr">
        <is>
          <t>Forest Ronaros Area</t>
        </is>
      </c>
      <c r="C484" t="inlineStr">
        <is>
          <t>Ancient Spirit Dust</t>
        </is>
      </c>
      <c r="D484" t="n">
        <v>9.791617</v>
      </c>
      <c r="E484" t="n">
        <v>5148.5</v>
      </c>
      <c r="F484" s="3" t="n">
        <v>1.901838787996504</v>
      </c>
      <c r="G484" t="n">
        <v>526</v>
      </c>
      <c r="H484" s="3" t="n">
        <v>1.787452989797697</v>
      </c>
      <c r="I484" s="3" t="n">
        <v>2.021624522214475</v>
      </c>
      <c r="J484" t="n">
        <v>1030.1</v>
      </c>
      <c r="K484">
        <f>IF(IFERROR(INDEX(Spots!$K$2:$K$96,MATCH(A484,Spots!$A$2:$A$96,0)),"")="","",IFERROR(INDEX(Spots!$K$2:$K$96,MATCH(A484,Spots!$A$2:$A$96,0)),""))</f>
        <v/>
      </c>
      <c r="L484" s="3">
        <f>IF(OR(K484="",F484=""),"",F484/1000*K484*100)</f>
        <v/>
      </c>
      <c r="M484">
        <f>IF(OR(L484="",L484=0),"",ROUND(100/L484,0))</f>
        <v/>
      </c>
      <c r="N484" t="inlineStr"/>
    </row>
    <row r="485">
      <c r="A485" t="n">
        <v>26</v>
      </c>
      <c r="B485" t="inlineStr">
        <is>
          <t>Forest Ronaros Area</t>
        </is>
      </c>
      <c r="C485" t="inlineStr">
        <is>
          <t>Earth Spirit Stone Fragment</t>
        </is>
      </c>
      <c r="D485" t="n">
        <v>7.568815</v>
      </c>
      <c r="E485" t="n">
        <v>5148.5</v>
      </c>
      <c r="F485" s="3" t="n">
        <v>1.470101000291347</v>
      </c>
      <c r="G485" t="n">
        <v>680</v>
      </c>
      <c r="H485" s="3" t="n">
        <v>1.369746734083983</v>
      </c>
      <c r="I485" s="3" t="n">
        <v>1.575862833525809</v>
      </c>
      <c r="J485" t="n">
        <v>796.2</v>
      </c>
      <c r="K485">
        <f>IF(IFERROR(INDEX(Spots!$K$2:$K$96,MATCH(A485,Spots!$A$2:$A$96,0)),"")="","",IFERROR(INDEX(Spots!$K$2:$K$96,MATCH(A485,Spots!$A$2:$A$96,0)),""))</f>
        <v/>
      </c>
      <c r="L485" s="3">
        <f>IF(OR(K485="",F485=""),"",F485/1000*K485*100)</f>
        <v/>
      </c>
      <c r="M485">
        <f>IF(OR(L485="",L485=0),"",ROUND(100/L485,0))</f>
        <v/>
      </c>
      <c r="N485" t="inlineStr"/>
    </row>
    <row r="486">
      <c r="A486" t="n">
        <v>26</v>
      </c>
      <c r="B486" t="inlineStr">
        <is>
          <t>Forest Ronaros Area</t>
        </is>
      </c>
      <c r="C486" t="inlineStr">
        <is>
          <t>Pure Forest Breath</t>
        </is>
      </c>
      <c r="D486" t="n">
        <v>6.45179</v>
      </c>
      <c r="E486" t="n">
        <v>5148.5</v>
      </c>
      <c r="F486" s="3" t="n">
        <v>1.253139749441585</v>
      </c>
      <c r="G486" t="n">
        <v>798</v>
      </c>
      <c r="H486" s="3" t="n">
        <v>1.160621985347517</v>
      </c>
      <c r="I486" s="3" t="n">
        <v>1.351070321858225</v>
      </c>
      <c r="J486" t="n">
        <v>678.7</v>
      </c>
      <c r="K486">
        <f>IF(IFERROR(INDEX(Spots!$K$2:$K$96,MATCH(A486,Spots!$A$2:$A$96,0)),"")="","",IFERROR(INDEX(Spots!$K$2:$K$96,MATCH(A486,Spots!$A$2:$A$96,0)),""))</f>
        <v/>
      </c>
      <c r="L486" s="3">
        <f>IF(OR(K486="",F486=""),"",F486/1000*K486*100)</f>
        <v/>
      </c>
      <c r="M486">
        <f>IF(OR(L486="",L486=0),"",ROUND(100/L486,0))</f>
        <v/>
      </c>
      <c r="N486" t="inlineStr"/>
    </row>
    <row r="487">
      <c r="A487" t="n">
        <v>26</v>
      </c>
      <c r="B487" t="inlineStr">
        <is>
          <t>Forest Ronaros Area</t>
        </is>
      </c>
      <c r="C487" t="inlineStr">
        <is>
          <t>Trace of Nature</t>
        </is>
      </c>
      <c r="D487" t="n">
        <v>6.203305</v>
      </c>
      <c r="E487" t="n">
        <v>5148.5</v>
      </c>
      <c r="F487" s="3" t="n">
        <v>1.204876177527435</v>
      </c>
      <c r="G487" t="n">
        <v>830</v>
      </c>
      <c r="H487" s="3" t="n">
        <v>1.114191953065163</v>
      </c>
      <c r="I487" s="3" t="n">
        <v>1.30097456370179</v>
      </c>
      <c r="J487" t="n">
        <v>652.6</v>
      </c>
      <c r="K487">
        <f>IF(IFERROR(INDEX(Spots!$K$2:$K$96,MATCH(A487,Spots!$A$2:$A$96,0)),"")="","",IFERROR(INDEX(Spots!$K$2:$K$96,MATCH(A487,Spots!$A$2:$A$96,0)),""))</f>
        <v/>
      </c>
      <c r="L487" s="3">
        <f>IF(OR(K487="",F487=""),"",F487/1000*K487*100)</f>
        <v/>
      </c>
      <c r="M487">
        <f>IF(OR(L487="",L487=0),"",ROUND(100/L487,0))</f>
        <v/>
      </c>
      <c r="N487" t="inlineStr"/>
    </row>
    <row r="488">
      <c r="A488" t="n">
        <v>26</v>
      </c>
      <c r="B488" t="inlineStr">
        <is>
          <t>Forest Ronaros Area</t>
        </is>
      </c>
      <c r="C488" t="inlineStr">
        <is>
          <t>Rumbling Earth Shard</t>
        </is>
      </c>
      <c r="D488" t="n">
        <v>3.829579</v>
      </c>
      <c r="E488" t="n">
        <v>5148.5</v>
      </c>
      <c r="F488" s="3" t="n">
        <v>0.7438242206467902</v>
      </c>
      <c r="G488" t="n">
        <v>1344</v>
      </c>
      <c r="H488" s="3" t="n">
        <v>0.6729524576519548</v>
      </c>
      <c r="I488" s="3" t="n">
        <v>0.8201290744684083</v>
      </c>
      <c r="J488" t="n">
        <v>402.9</v>
      </c>
      <c r="K488">
        <f>IF(IFERROR(INDEX(Spots!$K$2:$K$96,MATCH(A488,Spots!$A$2:$A$96,0)),"")="","",IFERROR(INDEX(Spots!$K$2:$K$96,MATCH(A488,Spots!$A$2:$A$96,0)),""))</f>
        <v/>
      </c>
      <c r="L488" s="3">
        <f>IF(OR(K488="",F488=""),"",F488/1000*K488*100)</f>
        <v/>
      </c>
      <c r="M488">
        <f>IF(OR(L488="",L488=0),"",ROUND(100/L488,0))</f>
        <v/>
      </c>
      <c r="N488" t="inlineStr"/>
    </row>
    <row r="489">
      <c r="A489" t="n">
        <v>26</v>
      </c>
      <c r="B489" t="inlineStr">
        <is>
          <t>Forest Ronaros Area</t>
        </is>
      </c>
      <c r="C489" t="inlineStr">
        <is>
          <t>Guardian Spirit Stone</t>
        </is>
      </c>
      <c r="D489" t="n">
        <v>2.264465</v>
      </c>
      <c r="E489" t="n">
        <v>5148.5</v>
      </c>
      <c r="F489" s="3" t="n">
        <v>0.4398300475866757</v>
      </c>
      <c r="G489" t="n">
        <v>2274</v>
      </c>
      <c r="H489" s="3" t="n">
        <v>0.3857432962623976</v>
      </c>
      <c r="I489" s="3" t="n">
        <v>0.4993762636741415</v>
      </c>
      <c r="J489" t="n">
        <v>238.2</v>
      </c>
      <c r="K489">
        <f>IF(IFERROR(INDEX(Spots!$K$2:$K$96,MATCH(A489,Spots!$A$2:$A$96,0)),"")="","",IFERROR(INDEX(Spots!$K$2:$K$96,MATCH(A489,Spots!$A$2:$A$96,0)),""))</f>
        <v/>
      </c>
      <c r="L489" s="3">
        <f>IF(OR(K489="",F489=""),"",F489/1000*K489*100)</f>
        <v/>
      </c>
      <c r="M489">
        <f>IF(OR(L489="",L489=0),"",ROUND(100/L489,0))</f>
        <v/>
      </c>
      <c r="N489" t="inlineStr"/>
    </row>
    <row r="490">
      <c r="A490" t="n">
        <v>26</v>
      </c>
      <c r="B490" t="inlineStr">
        <is>
          <t>Forest Ronaros Area</t>
        </is>
      </c>
      <c r="C490" t="inlineStr">
        <is>
          <t>Manshaum Voodoo Doll</t>
        </is>
      </c>
      <c r="D490" t="n">
        <v>1.991294</v>
      </c>
      <c r="E490" t="n">
        <v>5148.5</v>
      </c>
      <c r="F490" s="3" t="n">
        <v>0.3867716810721569</v>
      </c>
      <c r="G490" t="n">
        <v>2586</v>
      </c>
      <c r="H490" s="3" t="n">
        <v>0.3361632028030931</v>
      </c>
      <c r="I490" s="3" t="n">
        <v>0.4428471661335175</v>
      </c>
      <c r="J490" t="n">
        <v>209.5</v>
      </c>
      <c r="K490">
        <f>IF(IFERROR(INDEX(Spots!$K$2:$K$96,MATCH(A490,Spots!$A$2:$A$96,0)),"")="","",IFERROR(INDEX(Spots!$K$2:$K$96,MATCH(A490,Spots!$A$2:$A$96,0)),""))</f>
        <v/>
      </c>
      <c r="L490" s="3">
        <f>IF(OR(K490="",F490=""),"",F490/1000*K490*100)</f>
        <v/>
      </c>
      <c r="M490">
        <f>IF(OR(L490="",L490=0),"",ROUND(100/L490,0))</f>
        <v/>
      </c>
      <c r="N490" t="inlineStr"/>
    </row>
    <row r="491">
      <c r="A491" t="n">
        <v>26</v>
      </c>
      <c r="B491" t="inlineStr">
        <is>
          <t>Forest Ronaros Area</t>
        </is>
      </c>
      <c r="C491" t="inlineStr">
        <is>
          <t>Mass of Pure Magic</t>
        </is>
      </c>
      <c r="D491" t="n">
        <v>1.255439</v>
      </c>
      <c r="E491" t="n">
        <v>5148.5</v>
      </c>
      <c r="F491" s="3" t="n">
        <v>0.2438455860930368</v>
      </c>
      <c r="G491" t="n">
        <v>4101</v>
      </c>
      <c r="H491" s="3" t="n">
        <v>0.204030340659539</v>
      </c>
      <c r="I491" s="3" t="n">
        <v>0.2891590868888625</v>
      </c>
      <c r="J491" t="n">
        <v>132.1</v>
      </c>
      <c r="K491">
        <f>IF(IFERROR(INDEX(Spots!$K$2:$K$96,MATCH(A491,Spots!$A$2:$A$96,0)),"")="","",IFERROR(INDEX(Spots!$K$2:$K$96,MATCH(A491,Spots!$A$2:$A$96,0)),""))</f>
        <v/>
      </c>
      <c r="L491" s="3">
        <f>IF(OR(K491="",F491=""),"",F491/1000*K491*100)</f>
        <v/>
      </c>
      <c r="M491">
        <f>IF(OR(L491="",L491=0),"",ROUND(100/L491,0))</f>
        <v/>
      </c>
      <c r="N491" t="inlineStr"/>
    </row>
    <row r="492">
      <c r="A492" t="n">
        <v>26</v>
      </c>
      <c r="B492" t="inlineStr">
        <is>
          <t>Forest Ronaros Area</t>
        </is>
      </c>
      <c r="C492" t="inlineStr">
        <is>
          <t>Tranquil Tinniolum</t>
        </is>
      </c>
      <c r="D492" t="n">
        <v>0.88036011</v>
      </c>
      <c r="E492" t="n">
        <v>5148.5</v>
      </c>
      <c r="F492" s="3" t="n">
        <v>0.1709935146159075</v>
      </c>
      <c r="G492" t="n">
        <v>5848</v>
      </c>
      <c r="H492" s="3" t="n">
        <v>0.1379447224209838</v>
      </c>
      <c r="I492" s="3" t="n">
        <v>0.209569748804312</v>
      </c>
      <c r="J492" t="n">
        <v>92.59999999999999</v>
      </c>
      <c r="K492">
        <f>IF(IFERROR(INDEX(Spots!$K$2:$K$96,MATCH(A492,Spots!$A$2:$A$96,0)),"")="","",IFERROR(INDEX(Spots!$K$2:$K$96,MATCH(A492,Spots!$A$2:$A$96,0)),""))</f>
        <v/>
      </c>
      <c r="L492" s="3">
        <f>IF(OR(K492="",F492=""),"",F492/1000*K492*100)</f>
        <v/>
      </c>
      <c r="M492">
        <f>IF(OR(L492="",L492=0),"",ROUND(100/L492,0))</f>
        <v/>
      </c>
      <c r="N492" t="inlineStr"/>
    </row>
    <row r="493">
      <c r="A493" t="n">
        <v>26</v>
      </c>
      <c r="B493" t="inlineStr">
        <is>
          <t>Forest Ronaros Area</t>
        </is>
      </c>
      <c r="C493" t="inlineStr">
        <is>
          <t>Forest Ronaros Ring</t>
        </is>
      </c>
      <c r="D493" t="n">
        <v>0.44064471</v>
      </c>
      <c r="E493" t="n">
        <v>5148.5</v>
      </c>
      <c r="F493" s="3" t="n">
        <v>0.08558700786636884</v>
      </c>
      <c r="G493" t="n">
        <v>11684</v>
      </c>
      <c r="H493" s="3" t="n">
        <v>0.06273562456359229</v>
      </c>
      <c r="I493" s="3" t="n">
        <v>0.1140388213550197</v>
      </c>
      <c r="J493" t="n">
        <v>46.4</v>
      </c>
      <c r="K493">
        <f>IF(IFERROR(INDEX(Spots!$K$2:$K$96,MATCH(A493,Spots!$A$2:$A$96,0)),"")="","",IFERROR(INDEX(Spots!$K$2:$K$96,MATCH(A493,Spots!$A$2:$A$96,0)),""))</f>
        <v/>
      </c>
      <c r="L493" s="3">
        <f>IF(OR(K493="",F493=""),"",F493/1000*K493*100)</f>
        <v/>
      </c>
      <c r="M493">
        <f>IF(OR(L493="",L493=0),"",ROUND(100/L493,0))</f>
        <v/>
      </c>
      <c r="N493" t="inlineStr"/>
    </row>
    <row r="494">
      <c r="A494" t="n">
        <v>26</v>
      </c>
      <c r="B494" t="inlineStr">
        <is>
          <t>Forest Ronaros Area</t>
        </is>
      </c>
      <c r="C494" t="inlineStr">
        <is>
          <t>Imperfect Lightstone of Fire</t>
        </is>
      </c>
      <c r="D494" t="n">
        <v>0.36394311</v>
      </c>
      <c r="E494" t="n">
        <v>5148.5</v>
      </c>
      <c r="F494" s="3" t="n">
        <v>0.07068915412255997</v>
      </c>
      <c r="G494" t="n">
        <v>14146</v>
      </c>
      <c r="H494" s="3" t="n">
        <v>0.05008790740745176</v>
      </c>
      <c r="I494" s="3" t="n">
        <v>0.09691544807178416</v>
      </c>
      <c r="J494" t="n">
        <v>38.3</v>
      </c>
      <c r="K494">
        <f>IF(IFERROR(INDEX(Spots!$K$2:$K$96,MATCH(A494,Spots!$A$2:$A$96,0)),"")="","",IFERROR(INDEX(Spots!$K$2:$K$96,MATCH(A494,Spots!$A$2:$A$96,0)),""))</f>
        <v/>
      </c>
      <c r="L494" s="3">
        <f>IF(OR(K494="",F494=""),"",F494/1000*K494*100)</f>
        <v/>
      </c>
      <c r="M494">
        <f>IF(OR(L494="",L494=0),"",ROUND(100/L494,0))</f>
        <v/>
      </c>
      <c r="N494" t="inlineStr"/>
    </row>
    <row r="495">
      <c r="A495" t="n">
        <v>26</v>
      </c>
      <c r="B495" t="inlineStr">
        <is>
          <t>Forest Ronaros Area</t>
        </is>
      </c>
      <c r="C495" t="inlineStr">
        <is>
          <t>Lemoria Gloves</t>
        </is>
      </c>
      <c r="D495" t="n">
        <v>0.31737915</v>
      </c>
      <c r="E495" t="n">
        <v>5148.5</v>
      </c>
      <c r="F495" s="3" t="n">
        <v>0.06164497426434884</v>
      </c>
      <c r="G495" t="n">
        <v>16222</v>
      </c>
      <c r="H495" s="3" t="n">
        <v>0.04252767820987234</v>
      </c>
      <c r="I495" s="3" t="n">
        <v>0.08640629068600063</v>
      </c>
      <c r="J495" t="n">
        <v>33.4</v>
      </c>
      <c r="K495">
        <f>IF(IFERROR(INDEX(Spots!$K$2:$K$96,MATCH(A495,Spots!$A$2:$A$96,0)),"")="","",IFERROR(INDEX(Spots!$K$2:$K$96,MATCH(A495,Spots!$A$2:$A$96,0)),""))</f>
        <v/>
      </c>
      <c r="L495" s="3">
        <f>IF(OR(K495="",F495=""),"",F495/1000*K495*100)</f>
        <v/>
      </c>
      <c r="M495">
        <f>IF(OR(L495="",L495=0),"",ROUND(100/L495,0))</f>
        <v/>
      </c>
      <c r="N495" t="inlineStr"/>
    </row>
    <row r="496">
      <c r="A496" t="n">
        <v>26</v>
      </c>
      <c r="B496" t="inlineStr">
        <is>
          <t>Forest Ronaros Area</t>
        </is>
      </c>
      <c r="C496" t="inlineStr">
        <is>
          <t>Lemoria Shoes</t>
        </is>
      </c>
      <c r="D496" t="n">
        <v>0.3006927</v>
      </c>
      <c r="E496" t="n">
        <v>5148.5</v>
      </c>
      <c r="F496" s="3" t="n">
        <v>0.05840394289598912</v>
      </c>
      <c r="G496" t="n">
        <v>17122</v>
      </c>
      <c r="H496" s="3" t="n">
        <v>0.03984477878327938</v>
      </c>
      <c r="I496" s="3" t="n">
        <v>0.08261493771022946</v>
      </c>
      <c r="J496" t="n">
        <v>31.6</v>
      </c>
      <c r="K496">
        <f>IF(IFERROR(INDEX(Spots!$K$2:$K$96,MATCH(A496,Spots!$A$2:$A$96,0)),"")="","",IFERROR(INDEX(Spots!$K$2:$K$96,MATCH(A496,Spots!$A$2:$A$96,0)),""))</f>
        <v/>
      </c>
      <c r="L496" s="3">
        <f>IF(OR(K496="",F496=""),"",F496/1000*K496*100)</f>
        <v/>
      </c>
      <c r="M496">
        <f>IF(OR(L496="",L496=0),"",ROUND(100/L496,0))</f>
        <v/>
      </c>
      <c r="N496" t="inlineStr"/>
    </row>
    <row r="497">
      <c r="A497" t="n">
        <v>26</v>
      </c>
      <c r="B497" t="inlineStr">
        <is>
          <t>Forest Ronaros Area</t>
        </is>
      </c>
      <c r="C497" t="inlineStr">
        <is>
          <t>Forest Fury</t>
        </is>
      </c>
      <c r="D497" t="n">
        <v>0.27407798</v>
      </c>
      <c r="E497" t="n">
        <v>5148.5</v>
      </c>
      <c r="F497" s="3" t="n">
        <v>0.0532345304457609</v>
      </c>
      <c r="G497" t="n">
        <v>18785</v>
      </c>
      <c r="H497" s="3" t="n">
        <v>0.0355987737050618</v>
      </c>
      <c r="I497" s="3" t="n">
        <v>0.07653596409514596</v>
      </c>
      <c r="J497" t="n">
        <v>28.8</v>
      </c>
      <c r="K497">
        <f>IF(IFERROR(INDEX(Spots!$K$2:$K$96,MATCH(A497,Spots!$A$2:$A$96,0)),"")="","",IFERROR(INDEX(Spots!$K$2:$K$96,MATCH(A497,Spots!$A$2:$A$96,0)),""))</f>
        <v/>
      </c>
      <c r="L497" s="3">
        <f>IF(OR(K497="",F497=""),"",F497/1000*K497*100)</f>
        <v/>
      </c>
      <c r="M497">
        <f>IF(OR(L497="",L497=0),"",ROUND(100/L497,0))</f>
        <v/>
      </c>
      <c r="N497" t="inlineStr">
        <is>
          <t>low sample</t>
        </is>
      </c>
    </row>
    <row r="498">
      <c r="A498" t="n">
        <v>26</v>
      </c>
      <c r="B498" t="inlineStr">
        <is>
          <t>Forest Ronaros Area</t>
        </is>
      </c>
      <c r="C498" t="inlineStr">
        <is>
          <t>Krogdalo's Origin Stone</t>
        </is>
      </c>
      <c r="D498" t="n">
        <v>0.09011971000000001</v>
      </c>
      <c r="E498" t="n">
        <v>5148.5</v>
      </c>
      <c r="F498" s="3" t="n">
        <v>0.0175040710886666</v>
      </c>
      <c r="G498" t="n">
        <v>57130</v>
      </c>
      <c r="H498" s="3" t="n">
        <v>0.008182424991857911</v>
      </c>
      <c r="I498" s="3" t="n">
        <v>0.03270786882515306</v>
      </c>
      <c r="J498" t="n">
        <v>9.5</v>
      </c>
      <c r="K498">
        <f>IF(IFERROR(INDEX(Spots!$K$2:$K$96,MATCH(A498,Spots!$A$2:$A$96,0)),"")="","",IFERROR(INDEX(Spots!$K$2:$K$96,MATCH(A498,Spots!$A$2:$A$96,0)),""))</f>
        <v/>
      </c>
      <c r="L498" s="3">
        <f>IF(OR(K498="",F498=""),"",F498/1000*K498*100)</f>
        <v/>
      </c>
      <c r="M498">
        <f>IF(OR(L498="",L498=0),"",ROUND(100/L498,0))</f>
        <v/>
      </c>
      <c r="N498" t="inlineStr">
        <is>
          <t>low sample</t>
        </is>
      </c>
    </row>
    <row r="499">
      <c r="A499" t="n">
        <v>26</v>
      </c>
      <c r="B499" t="inlineStr">
        <is>
          <t>Forest Ronaros Area</t>
        </is>
      </c>
      <c r="C499" t="inlineStr">
        <is>
          <t>Any Artifact</t>
        </is>
      </c>
      <c r="D499" t="n">
        <v>0.07998753</v>
      </c>
      <c r="E499" t="n">
        <v>5148.5</v>
      </c>
      <c r="F499" s="3" t="n">
        <v>0.01553608429639701</v>
      </c>
      <c r="G499" t="n">
        <v>64366</v>
      </c>
      <c r="H499" s="3" t="n">
        <v>0.006862348037078879</v>
      </c>
      <c r="I499" s="3" t="n">
        <v>0.03012137636117141</v>
      </c>
      <c r="J499" t="n">
        <v>8.4</v>
      </c>
      <c r="K499">
        <f>IF(IFERROR(INDEX(Spots!$K$2:$K$96,MATCH(A499,Spots!$A$2:$A$96,0)),"")="","",IFERROR(INDEX(Spots!$K$2:$K$96,MATCH(A499,Spots!$A$2:$A$96,0)),""))</f>
        <v/>
      </c>
      <c r="L499" s="3">
        <f>IF(OR(K499="",F499=""),"",F499/1000*K499*100)</f>
        <v/>
      </c>
      <c r="M499">
        <f>IF(OR(L499="",L499=0),"",ROUND(100/L499,0))</f>
        <v/>
      </c>
      <c r="N499" t="inlineStr">
        <is>
          <t>low sample</t>
        </is>
      </c>
    </row>
    <row r="500">
      <c r="A500" t="n">
        <v>26</v>
      </c>
      <c r="B500" t="inlineStr">
        <is>
          <t>Forest Ronaros Area</t>
        </is>
      </c>
      <c r="C500" t="inlineStr">
        <is>
          <t>Imperfect Lightstone of Earth</t>
        </is>
      </c>
      <c r="D500" t="n">
        <v>0.06249974</v>
      </c>
      <c r="E500" t="n">
        <v>5148.5</v>
      </c>
      <c r="F500" s="3" t="n">
        <v>0.01213940759444498</v>
      </c>
      <c r="G500" t="n">
        <v>82376</v>
      </c>
      <c r="H500" s="3" t="n">
        <v>0.004689669012318617</v>
      </c>
      <c r="I500" s="3" t="n">
        <v>0.02556566113449383</v>
      </c>
      <c r="J500" t="n">
        <v>6.6</v>
      </c>
      <c r="K500">
        <f>IF(IFERROR(INDEX(Spots!$K$2:$K$96,MATCH(A500,Spots!$A$2:$A$96,0)),"")="","",IFERROR(INDEX(Spots!$K$2:$K$96,MATCH(A500,Spots!$A$2:$A$96,0)),""))</f>
        <v/>
      </c>
      <c r="L500" s="3">
        <f>IF(OR(K500="",F500=""),"",F500/1000*K500*100)</f>
        <v/>
      </c>
      <c r="M500">
        <f>IF(OR(L500="",L500=0),"",ROUND(100/L500,0))</f>
        <v/>
      </c>
      <c r="N500" t="inlineStr">
        <is>
          <t>low sample</t>
        </is>
      </c>
    </row>
    <row r="501">
      <c r="A501" t="n">
        <v>26</v>
      </c>
      <c r="B501" t="inlineStr">
        <is>
          <t>Forest Ronaros Area</t>
        </is>
      </c>
      <c r="C501" t="inlineStr">
        <is>
          <t>Imperfect Lightstone of Wind</t>
        </is>
      </c>
      <c r="D501" t="n">
        <v>0.0546597</v>
      </c>
      <c r="E501" t="n">
        <v>5148.5</v>
      </c>
      <c r="F501" s="3" t="n">
        <v>0.01061662620180635</v>
      </c>
      <c r="G501" t="n">
        <v>94192</v>
      </c>
      <c r="H501" s="3" t="n">
        <v>0.003771346647157324</v>
      </c>
      <c r="I501" s="3" t="n">
        <v>0.02347606319932729</v>
      </c>
      <c r="J501" t="n">
        <v>5.8</v>
      </c>
      <c r="K501">
        <f>IF(IFERROR(INDEX(Spots!$K$2:$K$96,MATCH(A501,Spots!$A$2:$A$96,0)),"")="","",IFERROR(INDEX(Spots!$K$2:$K$96,MATCH(A501,Spots!$A$2:$A$96,0)),""))</f>
        <v/>
      </c>
      <c r="L501" s="3">
        <f>IF(OR(K501="",F501=""),"",F501/1000*K501*100)</f>
        <v/>
      </c>
      <c r="M501">
        <f>IF(OR(L501="",L501=0),"",ROUND(100/L501,0))</f>
        <v/>
      </c>
      <c r="N501" t="inlineStr">
        <is>
          <t>low sample</t>
        </is>
      </c>
    </row>
    <row r="502">
      <c r="A502" t="n">
        <v>26</v>
      </c>
      <c r="B502" t="inlineStr">
        <is>
          <t>Forest Ronaros Area</t>
        </is>
      </c>
      <c r="C502" t="inlineStr">
        <is>
          <t>Ancient Ron's Tintinnabulum</t>
        </is>
      </c>
      <c r="D502" t="n">
        <v>0.01375013</v>
      </c>
      <c r="E502" t="n">
        <v>5148.5</v>
      </c>
      <c r="F502" s="3" t="n">
        <v>0.002670706030882781</v>
      </c>
      <c r="G502" t="n">
        <v>374433</v>
      </c>
      <c r="H502" s="3" t="n">
        <v>0.0001465119530721997</v>
      </c>
      <c r="I502" s="3" t="n">
        <v>0.01167293090034761</v>
      </c>
      <c r="J502" t="n">
        <v>1.4</v>
      </c>
      <c r="K502">
        <f>IF(IFERROR(INDEX(Spots!$K$2:$K$96,MATCH(A502,Spots!$A$2:$A$96,0)),"")="","",IFERROR(INDEX(Spots!$K$2:$K$96,MATCH(A502,Spots!$A$2:$A$96,0)),""))</f>
        <v/>
      </c>
      <c r="L502" s="3">
        <f>IF(OR(K502="",F502=""),"",F502/1000*K502*100)</f>
        <v/>
      </c>
      <c r="M502">
        <f>IF(OR(L502="",L502=0),"",ROUND(100/L502,0))</f>
        <v/>
      </c>
      <c r="N502" t="inlineStr">
        <is>
          <t>low sample</t>
        </is>
      </c>
    </row>
    <row r="503">
      <c r="A503" t="n">
        <v>26</v>
      </c>
      <c r="B503" t="inlineStr">
        <is>
          <t>Forest Ronaros Area</t>
        </is>
      </c>
      <c r="C503" t="inlineStr">
        <is>
          <t>Great Marni's Stone (Forest Ronaros)</t>
        </is>
      </c>
      <c r="D503" t="n">
        <v>0.00742457</v>
      </c>
      <c r="E503" t="n">
        <v>5148.5</v>
      </c>
      <c r="F503" s="3" t="n">
        <v>0.001442084102165679</v>
      </c>
      <c r="G503" t="n">
        <v>693441</v>
      </c>
      <c r="H503" s="3" t="n">
        <v>2.399280059762521e-06</v>
      </c>
      <c r="I503" s="3" t="n">
        <v>0.009558813187551782</v>
      </c>
      <c r="J503" t="n">
        <v>0.8</v>
      </c>
      <c r="K503">
        <f>IF(IFERROR(INDEX(Spots!$K$2:$K$96,MATCH(A503,Spots!$A$2:$A$96,0)),"")="","",IFERROR(INDEX(Spots!$K$2:$K$96,MATCH(A503,Spots!$A$2:$A$96,0)),""))</f>
        <v/>
      </c>
      <c r="L503" s="3">
        <f>IF(OR(K503="",F503=""),"",F503/1000*K503*100)</f>
        <v/>
      </c>
      <c r="M503">
        <f>IF(OR(L503="",L503=0),"",ROUND(100/L503,0))</f>
        <v/>
      </c>
      <c r="N503" t="inlineStr">
        <is>
          <t>low sample</t>
        </is>
      </c>
    </row>
    <row r="504">
      <c r="A504" t="n">
        <v>26</v>
      </c>
      <c r="B504" t="inlineStr">
        <is>
          <t>Forest Ronaros Area</t>
        </is>
      </c>
      <c r="C504" t="inlineStr">
        <is>
          <t>Specter's Energy</t>
        </is>
      </c>
      <c r="D504" t="n">
        <v>0.00208458</v>
      </c>
      <c r="E504" t="n">
        <v>5148.5</v>
      </c>
      <c r="F504" s="3" t="n">
        <v>0.0004048907448771487</v>
      </c>
      <c r="G504" t="n">
        <v>2469802</v>
      </c>
      <c r="H504" s="3" t="n">
        <v>0</v>
      </c>
      <c r="I504" s="3" t="n">
        <v>0.007606046886256749</v>
      </c>
      <c r="J504" t="n">
        <v>0.2</v>
      </c>
      <c r="K504">
        <f>IF(IFERROR(INDEX(Spots!$K$2:$K$96,MATCH(A504,Spots!$A$2:$A$96,0)),"")="","",IFERROR(INDEX(Spots!$K$2:$K$96,MATCH(A504,Spots!$A$2:$A$96,0)),""))</f>
        <v/>
      </c>
      <c r="L504" s="3">
        <f>IF(OR(K504="",F504=""),"",F504/1000*K504*100)</f>
        <v/>
      </c>
      <c r="M504">
        <f>IF(OR(L504="",L504=0),"",ROUND(100/L504,0))</f>
        <v/>
      </c>
      <c r="N504" t="inlineStr">
        <is>
          <t>low sample</t>
        </is>
      </c>
    </row>
    <row r="505">
      <c r="A505" t="n">
        <v>167</v>
      </c>
      <c r="B505" t="inlineStr">
        <is>
          <t>Fortunate Golden Pig Cave</t>
        </is>
      </c>
      <c r="C505" t="inlineStr">
        <is>
          <t>Ancient Spirit Dust</t>
        </is>
      </c>
      <c r="D505" t="n">
        <v>56.667</v>
      </c>
      <c r="E505" t="n">
        <v>8101.5</v>
      </c>
      <c r="F505" s="3" t="n">
        <v>6.994630623958527</v>
      </c>
      <c r="G505" t="n">
        <v>143</v>
      </c>
      <c r="H505" s="3" t="n">
        <v>6.896769353854806</v>
      </c>
      <c r="I505" s="3" t="n">
        <v>7.093533178163328</v>
      </c>
      <c r="J505" t="n">
        <v>19489.7</v>
      </c>
      <c r="K505">
        <f>IF(IFERROR(INDEX(Spots!$K$2:$K$96,MATCH(A505,Spots!$A$2:$A$96,0)),"")="","",IFERROR(INDEX(Spots!$K$2:$K$96,MATCH(A505,Spots!$A$2:$A$96,0)),""))</f>
        <v/>
      </c>
      <c r="L505" s="3">
        <f>IF(OR(K505="",F505=""),"",F505/1000*K505*100)</f>
        <v/>
      </c>
      <c r="M505">
        <f>IF(OR(L505="",L505=0),"",ROUND(100/L505,0))</f>
        <v/>
      </c>
      <c r="N505" t="inlineStr"/>
    </row>
    <row r="506">
      <c r="A506" t="n">
        <v>167</v>
      </c>
      <c r="B506" t="inlineStr">
        <is>
          <t>Fortunate Golden Pig Cave</t>
        </is>
      </c>
      <c r="C506" t="inlineStr">
        <is>
          <t>Black Stone</t>
        </is>
      </c>
      <c r="D506" t="n">
        <v>43.57</v>
      </c>
      <c r="E506" t="n">
        <v>8101.5</v>
      </c>
      <c r="F506" s="3" t="n">
        <v>5.378016416712954</v>
      </c>
      <c r="G506" t="n">
        <v>186</v>
      </c>
      <c r="H506" s="3" t="n">
        <v>5.292248064167146</v>
      </c>
      <c r="I506" s="3" t="n">
        <v>5.46482640599077</v>
      </c>
      <c r="J506" t="n">
        <v>14985.2</v>
      </c>
      <c r="K506">
        <f>IF(IFERROR(INDEX(Spots!$K$2:$K$96,MATCH(A506,Spots!$A$2:$A$96,0)),"")="","",IFERROR(INDEX(Spots!$K$2:$K$96,MATCH(A506,Spots!$A$2:$A$96,0)),""))</f>
        <v/>
      </c>
      <c r="L506" s="3">
        <f>IF(OR(K506="",F506=""),"",F506/1000*K506*100)</f>
        <v/>
      </c>
      <c r="M506">
        <f>IF(OR(L506="",L506=0),"",ROUND(100/L506,0))</f>
        <v/>
      </c>
      <c r="N506" t="inlineStr"/>
    </row>
    <row r="507">
      <c r="A507" t="n">
        <v>167</v>
      </c>
      <c r="B507" t="inlineStr">
        <is>
          <t>Fortunate Golden Pig Cave</t>
        </is>
      </c>
      <c r="C507" t="inlineStr">
        <is>
          <t>Caphras Stone</t>
        </is>
      </c>
      <c r="D507" t="n">
        <v>9.063748</v>
      </c>
      <c r="E507" t="n">
        <v>8101.5</v>
      </c>
      <c r="F507" s="3" t="n">
        <v>1.118774054187496</v>
      </c>
      <c r="G507" t="n">
        <v>894</v>
      </c>
      <c r="H507" s="3" t="n">
        <v>1.07984078312476</v>
      </c>
      <c r="I507" s="3" t="n">
        <v>1.158752368695762</v>
      </c>
      <c r="J507" t="n">
        <v>3117.3</v>
      </c>
      <c r="K507">
        <f>IF(IFERROR(INDEX(Spots!$K$2:$K$96,MATCH(A507,Spots!$A$2:$A$96,0)),"")="","",IFERROR(INDEX(Spots!$K$2:$K$96,MATCH(A507,Spots!$A$2:$A$96,0)),""))</f>
        <v/>
      </c>
      <c r="L507" s="3">
        <f>IF(OR(K507="",F507=""),"",F507/1000*K507*100)</f>
        <v/>
      </c>
      <c r="M507">
        <f>IF(OR(L507="",L507=0),"",ROUND(100/L507,0))</f>
        <v/>
      </c>
      <c r="N507" t="inlineStr"/>
    </row>
    <row r="508">
      <c r="A508" t="n">
        <v>167</v>
      </c>
      <c r="B508" t="inlineStr">
        <is>
          <t>Fortunate Golden Pig Cave</t>
        </is>
      </c>
      <c r="C508" t="inlineStr">
        <is>
          <t>WON Dawn Crystal - All AP</t>
        </is>
      </c>
      <c r="D508" t="n">
        <v>2.195005</v>
      </c>
      <c r="E508" t="n">
        <v>8101.5</v>
      </c>
      <c r="F508" s="3" t="n">
        <v>0.2709380978831081</v>
      </c>
      <c r="G508" t="n">
        <v>3691</v>
      </c>
      <c r="H508" s="3" t="n">
        <v>0.2519527306910767</v>
      </c>
      <c r="I508" s="3" t="n">
        <v>0.2909749315006552</v>
      </c>
      <c r="J508" t="n">
        <v>754.9</v>
      </c>
      <c r="K508">
        <f>IF(IFERROR(INDEX(Spots!$K$2:$K$96,MATCH(A508,Spots!$A$2:$A$96,0)),"")="","",IFERROR(INDEX(Spots!$K$2:$K$96,MATCH(A508,Spots!$A$2:$A$96,0)),""))</f>
        <v/>
      </c>
      <c r="L508" s="3">
        <f>IF(OR(K508="",F508=""),"",F508/1000*K508*100)</f>
        <v/>
      </c>
      <c r="M508">
        <f>IF(OR(L508="",L508=0),"",ROUND(100/L508,0))</f>
        <v/>
      </c>
      <c r="N508" t="inlineStr"/>
    </row>
    <row r="509">
      <c r="A509" t="n">
        <v>167</v>
      </c>
      <c r="B509" t="inlineStr">
        <is>
          <t>Fortunate Golden Pig Cave</t>
        </is>
      </c>
      <c r="C509" t="inlineStr">
        <is>
          <t>Fortunate Golden Pig King Summon Scroll</t>
        </is>
      </c>
      <c r="D509" t="n">
        <v>0.4948153</v>
      </c>
      <c r="E509" t="n">
        <v>8101.5</v>
      </c>
      <c r="F509" s="3" t="n">
        <v>0.06107699808677406</v>
      </c>
      <c r="G509" t="n">
        <v>16373</v>
      </c>
      <c r="H509" s="3" t="n">
        <v>0.05224456491032076</v>
      </c>
      <c r="I509" s="3" t="n">
        <v>0.07097469088254764</v>
      </c>
      <c r="J509" t="n">
        <v>170.2</v>
      </c>
      <c r="K509">
        <f>IF(IFERROR(INDEX(Spots!$K$2:$K$96,MATCH(A509,Spots!$A$2:$A$96,0)),"")="","",IFERROR(INDEX(Spots!$K$2:$K$96,MATCH(A509,Spots!$A$2:$A$96,0)),""))</f>
        <v/>
      </c>
      <c r="L509" s="3">
        <f>IF(OR(K509="",F509=""),"",F509/1000*K509*100)</f>
        <v/>
      </c>
      <c r="M509">
        <f>IF(OR(L509="",L509=0),"",ROUND(100/L509,0))</f>
        <v/>
      </c>
      <c r="N509" t="inlineStr"/>
    </row>
    <row r="510">
      <c r="A510" t="n">
        <v>167</v>
      </c>
      <c r="B510" t="inlineStr">
        <is>
          <t>Fortunate Golden Pig Cave</t>
        </is>
      </c>
      <c r="C510" t="inlineStr">
        <is>
          <t>Fortunate Golden Pig King's Treasure Chest</t>
        </is>
      </c>
      <c r="D510" t="n">
        <v>0.44100537</v>
      </c>
      <c r="E510" t="n">
        <v>8101.5</v>
      </c>
      <c r="F510" s="3" t="n">
        <v>0.05443502684688021</v>
      </c>
      <c r="G510" t="n">
        <v>18371</v>
      </c>
      <c r="H510" s="3" t="n">
        <v>0.04611613669119099</v>
      </c>
      <c r="I510" s="3" t="n">
        <v>0.06382071520079399</v>
      </c>
      <c r="J510" t="n">
        <v>151.7</v>
      </c>
      <c r="K510">
        <f>IF(IFERROR(INDEX(Spots!$K$2:$K$96,MATCH(A510,Spots!$A$2:$A$96,0)),"")="","",IFERROR(INDEX(Spots!$K$2:$K$96,MATCH(A510,Spots!$A$2:$A$96,0)),""))</f>
        <v/>
      </c>
      <c r="L510" s="3">
        <f>IF(OR(K510="",F510=""),"",F510/1000*K510*100)</f>
        <v/>
      </c>
      <c r="M510">
        <f>IF(OR(L510="",L510=0),"",ROUND(100/L510,0))</f>
        <v/>
      </c>
      <c r="N510" t="inlineStr"/>
    </row>
    <row r="511">
      <c r="A511" t="n">
        <v>167</v>
      </c>
      <c r="B511" t="inlineStr">
        <is>
          <t>Fortunate Golden Pig Cave</t>
        </is>
      </c>
      <c r="C511" t="inlineStr">
        <is>
          <t>WON Dawn Crystal - Damage Reduction</t>
        </is>
      </c>
      <c r="D511" t="n">
        <v>0.30016</v>
      </c>
      <c r="E511" t="n">
        <v>8101.5</v>
      </c>
      <c r="F511" s="3" t="n">
        <v>0.03704992902548911</v>
      </c>
      <c r="G511" t="n">
        <v>26991</v>
      </c>
      <c r="H511" s="3" t="n">
        <v>0.03024792817945871</v>
      </c>
      <c r="I511" s="3" t="n">
        <v>0.04492452896097933</v>
      </c>
      <c r="J511" t="n">
        <v>103.2</v>
      </c>
      <c r="K511">
        <f>IF(IFERROR(INDEX(Spots!$K$2:$K$96,MATCH(A511,Spots!$A$2:$A$96,0)),"")="","",IFERROR(INDEX(Spots!$K$2:$K$96,MATCH(A511,Spots!$A$2:$A$96,0)),""))</f>
        <v/>
      </c>
      <c r="L511" s="3">
        <f>IF(OR(K511="",F511=""),"",F511/1000*K511*100)</f>
        <v/>
      </c>
      <c r="M511">
        <f>IF(OR(L511="",L511=0),"",ROUND(100/L511,0))</f>
        <v/>
      </c>
      <c r="N511" t="inlineStr"/>
    </row>
    <row r="512">
      <c r="A512" t="n">
        <v>167</v>
      </c>
      <c r="B512" t="inlineStr">
        <is>
          <t>Fortunate Golden Pig Cave</t>
        </is>
      </c>
      <c r="C512" t="inlineStr">
        <is>
          <t>WON Dawn Crystal - Black Spirit's Rage</t>
        </is>
      </c>
      <c r="D512" t="n">
        <v>0.29561566</v>
      </c>
      <c r="E512" t="n">
        <v>8101.5</v>
      </c>
      <c r="F512" s="3" t="n">
        <v>0.03648900327099919</v>
      </c>
      <c r="G512" t="n">
        <v>27406</v>
      </c>
      <c r="H512" s="3" t="n">
        <v>0.02974134789569987</v>
      </c>
      <c r="I512" s="3" t="n">
        <v>0.0443095103253537</v>
      </c>
      <c r="J512" t="n">
        <v>101.7</v>
      </c>
      <c r="K512">
        <f>IF(IFERROR(INDEX(Spots!$K$2:$K$96,MATCH(A512,Spots!$A$2:$A$96,0)),"")="","",IFERROR(INDEX(Spots!$K$2:$K$96,MATCH(A512,Spots!$A$2:$A$96,0)),""))</f>
        <v/>
      </c>
      <c r="L512" s="3">
        <f>IF(OR(K512="",F512=""),"",F512/1000*K512*100)</f>
        <v/>
      </c>
      <c r="M512">
        <f>IF(OR(L512="",L512=0),"",ROUND(100/L512,0))</f>
        <v/>
      </c>
      <c r="N512" t="inlineStr"/>
    </row>
    <row r="513">
      <c r="A513" t="n">
        <v>167</v>
      </c>
      <c r="B513" t="inlineStr">
        <is>
          <t>Fortunate Golden Pig Cave</t>
        </is>
      </c>
      <c r="C513" t="inlineStr">
        <is>
          <t>WON Dawn Crystal - Evasion</t>
        </is>
      </c>
      <c r="D513" t="n">
        <v>0.28504604</v>
      </c>
      <c r="E513" t="n">
        <v>8101.5</v>
      </c>
      <c r="F513" s="3" t="n">
        <v>0.03518435351478121</v>
      </c>
      <c r="G513" t="n">
        <v>28422</v>
      </c>
      <c r="H513" s="3" t="n">
        <v>0.0285647404589425</v>
      </c>
      <c r="I513" s="3" t="n">
        <v>0.04287742850724615</v>
      </c>
      <c r="J513" t="n">
        <v>98</v>
      </c>
      <c r="K513">
        <f>IF(IFERROR(INDEX(Spots!$K$2:$K$96,MATCH(A513,Spots!$A$2:$A$96,0)),"")="","",IFERROR(INDEX(Spots!$K$2:$K$96,MATCH(A513,Spots!$A$2:$A$96,0)),""))</f>
        <v/>
      </c>
      <c r="L513" s="3">
        <f>IF(OR(K513="",F513=""),"",F513/1000*K513*100)</f>
        <v/>
      </c>
      <c r="M513">
        <f>IF(OR(L513="",L513=0),"",ROUND(100/L513,0))</f>
        <v/>
      </c>
      <c r="N513" t="inlineStr"/>
    </row>
    <row r="514">
      <c r="A514" t="n">
        <v>167</v>
      </c>
      <c r="B514" t="inlineStr">
        <is>
          <t>Fortunate Golden Pig Cave</t>
        </is>
      </c>
      <c r="C514" t="inlineStr">
        <is>
          <t>WON Dawn Crystal - Accuracy</t>
        </is>
      </c>
      <c r="D514" t="n">
        <v>0.26478494</v>
      </c>
      <c r="E514" t="n">
        <v>8101.5</v>
      </c>
      <c r="F514" s="3" t="n">
        <v>0.0326834462753811</v>
      </c>
      <c r="G514" t="n">
        <v>30597</v>
      </c>
      <c r="H514" s="3" t="n">
        <v>0.02631610889867853</v>
      </c>
      <c r="I514" s="3" t="n">
        <v>0.04012551402986926</v>
      </c>
      <c r="J514" t="n">
        <v>91.09999999999999</v>
      </c>
      <c r="K514">
        <f>IF(IFERROR(INDEX(Spots!$K$2:$K$96,MATCH(A514,Spots!$A$2:$A$96,0)),"")="","",IFERROR(INDEX(Spots!$K$2:$K$96,MATCH(A514,Spots!$A$2:$A$96,0)),""))</f>
        <v/>
      </c>
      <c r="L514" s="3">
        <f>IF(OR(K514="",F514=""),"",F514/1000*K514*100)</f>
        <v/>
      </c>
      <c r="M514">
        <f>IF(OR(L514="",L514=0),"",ROUND(100/L514,0))</f>
        <v/>
      </c>
      <c r="N514" t="inlineStr"/>
    </row>
    <row r="515">
      <c r="A515" t="n">
        <v>167</v>
      </c>
      <c r="B515" t="inlineStr">
        <is>
          <t>Fortunate Golden Pig Cave</t>
        </is>
      </c>
      <c r="C515" t="inlineStr">
        <is>
          <t>BON Dawn Crystal - Black Spirit's Rage</t>
        </is>
      </c>
      <c r="D515" t="n">
        <v>0.02985411</v>
      </c>
      <c r="E515" t="n">
        <v>8101.5</v>
      </c>
      <c r="F515" s="3" t="n">
        <v>0.003685010183299389</v>
      </c>
      <c r="G515" t="n">
        <v>271370</v>
      </c>
      <c r="H515" s="3" t="n">
        <v>0.001784542892632988</v>
      </c>
      <c r="I515" s="3" t="n">
        <v>0.006725180398397335</v>
      </c>
      <c r="J515" t="n">
        <v>10.3</v>
      </c>
      <c r="K515">
        <f>IF(IFERROR(INDEX(Spots!$K$2:$K$96,MATCH(A515,Spots!$A$2:$A$96,0)),"")="","",IFERROR(INDEX(Spots!$K$2:$K$96,MATCH(A515,Spots!$A$2:$A$96,0)),""))</f>
        <v/>
      </c>
      <c r="L515" s="3">
        <f>IF(OR(K515="",F515=""),"",F515/1000*K515*100)</f>
        <v/>
      </c>
      <c r="M515">
        <f>IF(OR(L515="",L515=0),"",ROUND(100/L515,0))</f>
        <v/>
      </c>
      <c r="N515" t="inlineStr">
        <is>
          <t>low sample</t>
        </is>
      </c>
    </row>
    <row r="516">
      <c r="A516" t="n">
        <v>167</v>
      </c>
      <c r="B516" t="inlineStr">
        <is>
          <t>Fortunate Golden Pig Cave</t>
        </is>
      </c>
      <c r="C516" t="inlineStr">
        <is>
          <t>BON Dawn Crystal - All AP</t>
        </is>
      </c>
      <c r="D516" t="n">
        <v>0.0270824</v>
      </c>
      <c r="E516" t="n">
        <v>8101.5</v>
      </c>
      <c r="F516" s="3" t="n">
        <v>0.003342887119669197</v>
      </c>
      <c r="G516" t="n">
        <v>299143</v>
      </c>
      <c r="H516" s="3" t="n">
        <v>0.001550058385261766</v>
      </c>
      <c r="I516" s="3" t="n">
        <v>0.006279933093355729</v>
      </c>
      <c r="J516" t="n">
        <v>9.300000000000001</v>
      </c>
      <c r="K516">
        <f>IF(IFERROR(INDEX(Spots!$K$2:$K$96,MATCH(A516,Spots!$A$2:$A$96,0)),"")="","",IFERROR(INDEX(Spots!$K$2:$K$96,MATCH(A516,Spots!$A$2:$A$96,0)),""))</f>
        <v/>
      </c>
      <c r="L516" s="3">
        <f>IF(OR(K516="",F516=""),"",F516/1000*K516*100)</f>
        <v/>
      </c>
      <c r="M516">
        <f>IF(OR(L516="",L516=0),"",ROUND(100/L516,0))</f>
        <v/>
      </c>
      <c r="N516" t="inlineStr">
        <is>
          <t>low sample</t>
        </is>
      </c>
    </row>
    <row r="517">
      <c r="A517" t="n">
        <v>167</v>
      </c>
      <c r="B517" t="inlineStr">
        <is>
          <t>Fortunate Golden Pig Cave</t>
        </is>
      </c>
      <c r="C517" t="inlineStr">
        <is>
          <t>BON Dawn Crystal - Evasion</t>
        </is>
      </c>
      <c r="D517" t="n">
        <v>0.02436633</v>
      </c>
      <c r="E517" t="n">
        <v>8101.5</v>
      </c>
      <c r="F517" s="3" t="n">
        <v>0.003007631920014812</v>
      </c>
      <c r="G517" t="n">
        <v>332487</v>
      </c>
      <c r="H517" s="3" t="n">
        <v>0.001325792374888586</v>
      </c>
      <c r="I517" s="3" t="n">
        <v>0.00583877354419819</v>
      </c>
      <c r="J517" t="n">
        <v>8.4</v>
      </c>
      <c r="K517">
        <f>IF(IFERROR(INDEX(Spots!$K$2:$K$96,MATCH(A517,Spots!$A$2:$A$96,0)),"")="","",IFERROR(INDEX(Spots!$K$2:$K$96,MATCH(A517,Spots!$A$2:$A$96,0)),""))</f>
        <v/>
      </c>
      <c r="L517" s="3">
        <f>IF(OR(K517="",F517=""),"",F517/1000*K517*100)</f>
        <v/>
      </c>
      <c r="M517">
        <f>IF(OR(L517="",L517=0),"",ROUND(100/L517,0))</f>
        <v/>
      </c>
      <c r="N517" t="inlineStr">
        <is>
          <t>low sample</t>
        </is>
      </c>
    </row>
    <row r="518">
      <c r="A518" t="n">
        <v>167</v>
      </c>
      <c r="B518" t="inlineStr">
        <is>
          <t>Fortunate Golden Pig Cave</t>
        </is>
      </c>
      <c r="C518" t="inlineStr">
        <is>
          <t>BON Dawn Crystal - Accuracy</t>
        </is>
      </c>
      <c r="D518" t="n">
        <v>0.02227815</v>
      </c>
      <c r="E518" t="n">
        <v>8101.5</v>
      </c>
      <c r="F518" s="3" t="n">
        <v>0.002749879651916312</v>
      </c>
      <c r="G518" t="n">
        <v>363652</v>
      </c>
      <c r="H518" s="3" t="n">
        <v>0.001157665089601012</v>
      </c>
      <c r="I518" s="3" t="n">
        <v>0.005495862543155773</v>
      </c>
      <c r="J518" t="n">
        <v>7.7</v>
      </c>
      <c r="K518">
        <f>IF(IFERROR(INDEX(Spots!$K$2:$K$96,MATCH(A518,Spots!$A$2:$A$96,0)),"")="","",IFERROR(INDEX(Spots!$K$2:$K$96,MATCH(A518,Spots!$A$2:$A$96,0)),""))</f>
        <v/>
      </c>
      <c r="L518" s="3">
        <f>IF(OR(K518="",F518=""),"",F518/1000*K518*100)</f>
        <v/>
      </c>
      <c r="M518">
        <f>IF(OR(L518="",L518=0),"",ROUND(100/L518,0))</f>
        <v/>
      </c>
      <c r="N518" t="inlineStr">
        <is>
          <t>low sample</t>
        </is>
      </c>
    </row>
    <row r="519">
      <c r="A519" t="n">
        <v>167</v>
      </c>
      <c r="B519" t="inlineStr">
        <is>
          <t>Fortunate Golden Pig Cave</t>
        </is>
      </c>
      <c r="C519" t="inlineStr">
        <is>
          <t>BON Dawn Crystal - Damage Reduction</t>
        </is>
      </c>
      <c r="D519" t="n">
        <v>0.02227662</v>
      </c>
      <c r="E519" t="n">
        <v>8101.5</v>
      </c>
      <c r="F519" s="3" t="n">
        <v>0.002749690798000371</v>
      </c>
      <c r="G519" t="n">
        <v>363677</v>
      </c>
      <c r="H519" s="3" t="n">
        <v>0.001157543413923465</v>
      </c>
      <c r="I519" s="3" t="n">
        <v>0.005495609989572595</v>
      </c>
      <c r="J519" t="n">
        <v>7.7</v>
      </c>
      <c r="K519">
        <f>IF(IFERROR(INDEX(Spots!$K$2:$K$96,MATCH(A519,Spots!$A$2:$A$96,0)),"")="","",IFERROR(INDEX(Spots!$K$2:$K$96,MATCH(A519,Spots!$A$2:$A$96,0)),""))</f>
        <v/>
      </c>
      <c r="L519" s="3">
        <f>IF(OR(K519="",F519=""),"",F519/1000*K519*100)</f>
        <v/>
      </c>
      <c r="M519">
        <f>IF(OR(L519="",L519=0),"",ROUND(100/L519,0))</f>
        <v/>
      </c>
      <c r="N519" t="inlineStr">
        <is>
          <t>low sample</t>
        </is>
      </c>
    </row>
    <row r="520">
      <c r="A520" t="n">
        <v>167</v>
      </c>
      <c r="B520" t="inlineStr">
        <is>
          <t>Fortunate Golden Pig Cave</t>
        </is>
      </c>
      <c r="C520" t="inlineStr">
        <is>
          <t>Golden Pigs Subjugation Token</t>
        </is>
      </c>
      <c r="D520" t="n">
        <v>0.01256317</v>
      </c>
      <c r="E520" t="n">
        <v>8101.5</v>
      </c>
      <c r="F520" s="3" t="n">
        <v>0.001550721471332469</v>
      </c>
      <c r="G520" t="n">
        <v>644861</v>
      </c>
      <c r="H520" s="3" t="n">
        <v>0.0004457907276770619</v>
      </c>
      <c r="I520" s="3" t="n">
        <v>0.00384135358502482</v>
      </c>
      <c r="J520" t="n">
        <v>4.3</v>
      </c>
      <c r="K520">
        <f>IF(IFERROR(INDEX(Spots!$K$2:$K$96,MATCH(A520,Spots!$A$2:$A$96,0)),"")="","",IFERROR(INDEX(Spots!$K$2:$K$96,MATCH(A520,Spots!$A$2:$A$96,0)),""))</f>
        <v/>
      </c>
      <c r="L520" s="3">
        <f>IF(OR(K520="",F520=""),"",F520/1000*K520*100)</f>
        <v/>
      </c>
      <c r="M520">
        <f>IF(OR(L520="",L520=0),"",ROUND(100/L520,0))</f>
        <v/>
      </c>
      <c r="N520" t="inlineStr">
        <is>
          <t>low sample</t>
        </is>
      </c>
    </row>
    <row r="521">
      <c r="A521" t="n">
        <v>167</v>
      </c>
      <c r="B521" t="inlineStr">
        <is>
          <t>Fortunate Golden Pig Cave</t>
        </is>
      </c>
      <c r="C521" t="inlineStr">
        <is>
          <t>Rare Treasure Chest</t>
        </is>
      </c>
      <c r="D521" t="n">
        <v>0.00945268</v>
      </c>
      <c r="E521" t="n">
        <v>8101.5</v>
      </c>
      <c r="F521" s="3" t="n">
        <v>0.001166781460223415</v>
      </c>
      <c r="G521" t="n">
        <v>857059</v>
      </c>
      <c r="H521" s="3" t="n">
        <v>0.000256435730077818</v>
      </c>
      <c r="I521" s="3" t="n">
        <v>0.003280745032600836</v>
      </c>
      <c r="J521" t="n">
        <v>3.3</v>
      </c>
      <c r="K521">
        <f>IF(IFERROR(INDEX(Spots!$K$2:$K$96,MATCH(A521,Spots!$A$2:$A$96,0)),"")="","",IFERROR(INDEX(Spots!$K$2:$K$96,MATCH(A521,Spots!$A$2:$A$96,0)),""))</f>
        <v/>
      </c>
      <c r="L521" s="3">
        <f>IF(OR(K521="",F521=""),"",F521/1000*K521*100)</f>
        <v/>
      </c>
      <c r="M521">
        <f>IF(OR(L521="",L521=0),"",ROUND(100/L521,0))</f>
        <v/>
      </c>
      <c r="N521" t="inlineStr">
        <is>
          <t>low sample</t>
        </is>
      </c>
    </row>
    <row r="522">
      <c r="A522" t="n">
        <v>167</v>
      </c>
      <c r="B522" t="inlineStr">
        <is>
          <t>Fortunate Golden Pig Cave</t>
        </is>
      </c>
      <c r="C522" t="inlineStr">
        <is>
          <t>Rare Treasures</t>
        </is>
      </c>
      <c r="D522" t="n">
        <v>0.00176748</v>
      </c>
      <c r="E522" t="n">
        <v>8101.5</v>
      </c>
      <c r="F522" s="3" t="n">
        <v>0.0002181670061099796</v>
      </c>
      <c r="G522" t="n">
        <v>4583645</v>
      </c>
      <c r="H522" s="3" t="n">
        <v>0</v>
      </c>
      <c r="I522" s="3" t="n">
        <v>0.00174518744201042</v>
      </c>
      <c r="J522" t="n">
        <v>0.6</v>
      </c>
      <c r="K522">
        <f>IF(IFERROR(INDEX(Spots!$K$2:$K$96,MATCH(A522,Spots!$A$2:$A$96,0)),"")="","",IFERROR(INDEX(Spots!$K$2:$K$96,MATCH(A522,Spots!$A$2:$A$96,0)),""))</f>
        <v/>
      </c>
      <c r="L522" s="3">
        <f>IF(OR(K522="",F522=""),"",F522/1000*K522*100)</f>
        <v/>
      </c>
      <c r="M522">
        <f>IF(OR(L522="",L522=0),"",ROUND(100/L522,0))</f>
        <v/>
      </c>
      <c r="N522" t="inlineStr">
        <is>
          <t>low sample</t>
        </is>
      </c>
    </row>
    <row r="523">
      <c r="A523" t="n">
        <v>43</v>
      </c>
      <c r="B523" t="inlineStr">
        <is>
          <t>Gahaz Bandit's Lair</t>
        </is>
      </c>
      <c r="C523" t="inlineStr">
        <is>
          <t>Black Stone</t>
        </is>
      </c>
      <c r="D523" t="n">
        <v>41.517</v>
      </c>
      <c r="E523" t="n">
        <v>4316.1</v>
      </c>
      <c r="F523" s="3" t="n">
        <v>9.619100576909709</v>
      </c>
      <c r="G523" t="n">
        <v>104</v>
      </c>
      <c r="H523" s="3" t="n">
        <v>9.135447283081039</v>
      </c>
      <c r="I523" s="3" t="n">
        <v>10.12171148769028</v>
      </c>
      <c r="J523" t="n">
        <v>1481.5</v>
      </c>
      <c r="K523">
        <f>IF(IFERROR(INDEX(Spots!$K$2:$K$96,MATCH(A523,Spots!$A$2:$A$96,0)),"")="","",IFERROR(INDEX(Spots!$K$2:$K$96,MATCH(A523,Spots!$A$2:$A$96,0)),""))</f>
        <v/>
      </c>
      <c r="L523" s="3">
        <f>IF(OR(K523="",F523=""),"",F523/1000*K523*100)</f>
        <v/>
      </c>
      <c r="M523">
        <f>IF(OR(L523="",L523=0),"",ROUND(100/L523,0))</f>
        <v/>
      </c>
      <c r="N523" t="inlineStr">
        <is>
          <t>low sample</t>
        </is>
      </c>
    </row>
    <row r="524">
      <c r="A524" t="n">
        <v>43</v>
      </c>
      <c r="B524" t="inlineStr">
        <is>
          <t>Gahaz Bandit's Lair</t>
        </is>
      </c>
      <c r="C524" t="inlineStr">
        <is>
          <t>Caphras Stone</t>
        </is>
      </c>
      <c r="D524" t="n">
        <v>8.425281</v>
      </c>
      <c r="E524" t="n">
        <v>4316.1</v>
      </c>
      <c r="F524" s="3" t="n">
        <v>1.952058803086119</v>
      </c>
      <c r="G524" t="n">
        <v>512</v>
      </c>
      <c r="H524" s="3" t="n">
        <v>1.73760508263011</v>
      </c>
      <c r="I524" s="3" t="n">
        <v>2.185667997942236</v>
      </c>
      <c r="J524" t="n">
        <v>300.6</v>
      </c>
      <c r="K524">
        <f>IF(IFERROR(INDEX(Spots!$K$2:$K$96,MATCH(A524,Spots!$A$2:$A$96,0)),"")="","",IFERROR(INDEX(Spots!$K$2:$K$96,MATCH(A524,Spots!$A$2:$A$96,0)),""))</f>
        <v/>
      </c>
      <c r="L524" s="3">
        <f>IF(OR(K524="",F524=""),"",F524/1000*K524*100)</f>
        <v/>
      </c>
      <c r="M524">
        <f>IF(OR(L524="",L524=0),"",ROUND(100/L524,0))</f>
        <v/>
      </c>
      <c r="N524" t="inlineStr">
        <is>
          <t>low sample</t>
        </is>
      </c>
    </row>
    <row r="525">
      <c r="A525" t="n">
        <v>43</v>
      </c>
      <c r="B525" t="inlineStr">
        <is>
          <t>Gahaz Bandit's Lair</t>
        </is>
      </c>
      <c r="C525" t="inlineStr">
        <is>
          <t>Scroll Written in Ancient Language</t>
        </is>
      </c>
      <c r="D525" t="n">
        <v>7.76631</v>
      </c>
      <c r="E525" t="n">
        <v>4316.1</v>
      </c>
      <c r="F525" s="3" t="n">
        <v>1.799381385973448</v>
      </c>
      <c r="G525" t="n">
        <v>556</v>
      </c>
      <c r="H525" s="3" t="n">
        <v>1.593734887417348</v>
      </c>
      <c r="I525" s="3" t="n">
        <v>2.024198199788787</v>
      </c>
      <c r="J525" t="n">
        <v>277.1</v>
      </c>
      <c r="K525">
        <f>IF(IFERROR(INDEX(Spots!$K$2:$K$96,MATCH(A525,Spots!$A$2:$A$96,0)),"")="","",IFERROR(INDEX(Spots!$K$2:$K$96,MATCH(A525,Spots!$A$2:$A$96,0)),""))</f>
        <v/>
      </c>
      <c r="L525" s="3">
        <f>IF(OR(K525="",F525=""),"",F525/1000*K525*100)</f>
        <v/>
      </c>
      <c r="M525">
        <f>IF(OR(L525="",L525=0),"",ROUND(100/L525,0))</f>
        <v/>
      </c>
      <c r="N525" t="inlineStr">
        <is>
          <t>low sample</t>
        </is>
      </c>
    </row>
    <row r="526">
      <c r="A526" t="n">
        <v>43</v>
      </c>
      <c r="B526" t="inlineStr">
        <is>
          <t>Gahaz Bandit's Lair</t>
        </is>
      </c>
      <c r="C526" t="inlineStr">
        <is>
          <t>Ancient Spirit Dust</t>
        </is>
      </c>
      <c r="D526" t="n">
        <v>6.608922</v>
      </c>
      <c r="E526" t="n">
        <v>4316.1</v>
      </c>
      <c r="F526" s="3" t="n">
        <v>1.531225411830124</v>
      </c>
      <c r="G526" t="n">
        <v>653</v>
      </c>
      <c r="H526" s="3" t="n">
        <v>1.342006179338447</v>
      </c>
      <c r="I526" s="3" t="n">
        <v>1.739646154856555</v>
      </c>
      <c r="J526" t="n">
        <v>235.8</v>
      </c>
      <c r="K526">
        <f>IF(IFERROR(INDEX(Spots!$K$2:$K$96,MATCH(A526,Spots!$A$2:$A$96,0)),"")="","",IFERROR(INDEX(Spots!$K$2:$K$96,MATCH(A526,Spots!$A$2:$A$96,0)),""))</f>
        <v/>
      </c>
      <c r="L526" s="3">
        <f>IF(OR(K526="",F526=""),"",F526/1000*K526*100)</f>
        <v/>
      </c>
      <c r="M526">
        <f>IF(OR(L526="",L526=0),"",ROUND(100/L526,0))</f>
        <v/>
      </c>
      <c r="N526" t="inlineStr">
        <is>
          <t>low sample</t>
        </is>
      </c>
    </row>
    <row r="527">
      <c r="A527" t="n">
        <v>43</v>
      </c>
      <c r="B527" t="inlineStr">
        <is>
          <t>Gahaz Bandit's Lair</t>
        </is>
      </c>
      <c r="C527" t="inlineStr">
        <is>
          <t>Trace of Nature</t>
        </is>
      </c>
      <c r="D527" t="n">
        <v>6.235225</v>
      </c>
      <c r="E527" t="n">
        <v>4316.1</v>
      </c>
      <c r="F527" s="3" t="n">
        <v>1.444643312249484</v>
      </c>
      <c r="G527" t="n">
        <v>692</v>
      </c>
      <c r="H527" s="3" t="n">
        <v>1.261031557937963</v>
      </c>
      <c r="I527" s="3" t="n">
        <v>1.647468440105079</v>
      </c>
      <c r="J527" t="n">
        <v>222.5</v>
      </c>
      <c r="K527">
        <f>IF(IFERROR(INDEX(Spots!$K$2:$K$96,MATCH(A527,Spots!$A$2:$A$96,0)),"")="","",IFERROR(INDEX(Spots!$K$2:$K$96,MATCH(A527,Spots!$A$2:$A$96,0)),""))</f>
        <v/>
      </c>
      <c r="L527" s="3">
        <f>IF(OR(K527="",F527=""),"",F527/1000*K527*100)</f>
        <v/>
      </c>
      <c r="M527">
        <f>IF(OR(L527="",L527=0),"",ROUND(100/L527,0))</f>
        <v/>
      </c>
      <c r="N527" t="inlineStr">
        <is>
          <t>low sample</t>
        </is>
      </c>
    </row>
    <row r="528">
      <c r="A528" t="n">
        <v>43</v>
      </c>
      <c r="B528" t="inlineStr">
        <is>
          <t>Gahaz Bandit's Lair</t>
        </is>
      </c>
      <c r="C528" t="inlineStr">
        <is>
          <t>Sealed Black Magic Crystal</t>
        </is>
      </c>
      <c r="D528" t="n">
        <v>4.270902</v>
      </c>
      <c r="E528" t="n">
        <v>4316.1</v>
      </c>
      <c r="F528" s="3" t="n">
        <v>0.9895280461527769</v>
      </c>
      <c r="G528" t="n">
        <v>1011</v>
      </c>
      <c r="H528" s="3" t="n">
        <v>0.8386504234161554</v>
      </c>
      <c r="I528" s="3" t="n">
        <v>1.159704832134335</v>
      </c>
      <c r="J528" t="n">
        <v>152.4</v>
      </c>
      <c r="K528">
        <f>IF(IFERROR(INDEX(Spots!$K$2:$K$96,MATCH(A528,Spots!$A$2:$A$96,0)),"")="","",IFERROR(INDEX(Spots!$K$2:$K$96,MATCH(A528,Spots!$A$2:$A$96,0)),""))</f>
        <v/>
      </c>
      <c r="L528" s="3">
        <f>IF(OR(K528="",F528=""),"",F528/1000*K528*100)</f>
        <v/>
      </c>
      <c r="M528">
        <f>IF(OR(L528="",L528=0),"",ROUND(100/L528,0))</f>
        <v/>
      </c>
      <c r="N528" t="inlineStr">
        <is>
          <t>low sample</t>
        </is>
      </c>
    </row>
    <row r="529">
      <c r="A529" t="n">
        <v>43</v>
      </c>
      <c r="B529" t="inlineStr">
        <is>
          <t>Gahaz Bandit's Lair</t>
        </is>
      </c>
      <c r="C529" t="inlineStr">
        <is>
          <t>Rosar Main Weapon Box</t>
        </is>
      </c>
      <c r="D529" t="n">
        <v>3.712233</v>
      </c>
      <c r="E529" t="n">
        <v>4316.1</v>
      </c>
      <c r="F529" s="3" t="n">
        <v>0.8600896642802529</v>
      </c>
      <c r="G529" t="n">
        <v>1163</v>
      </c>
      <c r="H529" s="3" t="n">
        <v>0.7198526629491483</v>
      </c>
      <c r="I529" s="3" t="n">
        <v>1.019661780498196</v>
      </c>
      <c r="J529" t="n">
        <v>132.5</v>
      </c>
      <c r="K529">
        <f>IF(IFERROR(INDEX(Spots!$K$2:$K$96,MATCH(A529,Spots!$A$2:$A$96,0)),"")="","",IFERROR(INDEX(Spots!$K$2:$K$96,MATCH(A529,Spots!$A$2:$A$96,0)),""))</f>
        <v/>
      </c>
      <c r="L529" s="3">
        <f>IF(OR(K529="",F529=""),"",F529/1000*K529*100)</f>
        <v/>
      </c>
      <c r="M529">
        <f>IF(OR(L529="",L529=0),"",ROUND(100/L529,0))</f>
        <v/>
      </c>
      <c r="N529" t="inlineStr">
        <is>
          <t>low sample</t>
        </is>
      </c>
    </row>
    <row r="530">
      <c r="A530" t="n">
        <v>43</v>
      </c>
      <c r="B530" t="inlineStr">
        <is>
          <t>Gahaz Bandit's Lair</t>
        </is>
      </c>
      <c r="C530" t="inlineStr">
        <is>
          <t>Rosar Sub-weapon Box</t>
        </is>
      </c>
      <c r="D530" t="n">
        <v>3.481517</v>
      </c>
      <c r="E530" t="n">
        <v>4316.1</v>
      </c>
      <c r="F530" s="3" t="n">
        <v>0.8066349250480758</v>
      </c>
      <c r="G530" t="n">
        <v>1240</v>
      </c>
      <c r="H530" s="3" t="n">
        <v>0.6710250382855879</v>
      </c>
      <c r="I530" s="3" t="n">
        <v>0.9615972015603572</v>
      </c>
      <c r="J530" t="n">
        <v>124.2</v>
      </c>
      <c r="K530">
        <f>IF(IFERROR(INDEX(Spots!$K$2:$K$96,MATCH(A530,Spots!$A$2:$A$96,0)),"")="","",IFERROR(INDEX(Spots!$K$2:$K$96,MATCH(A530,Spots!$A$2:$A$96,0)),""))</f>
        <v/>
      </c>
      <c r="L530" s="3">
        <f>IF(OR(K530="",F530=""),"",F530/1000*K530*100)</f>
        <v/>
      </c>
      <c r="M530">
        <f>IF(OR(L530="",L530=0),"",ROUND(100/L530,0))</f>
        <v/>
      </c>
      <c r="N530" t="inlineStr">
        <is>
          <t>low sample</t>
        </is>
      </c>
    </row>
    <row r="531">
      <c r="A531" t="n">
        <v>43</v>
      </c>
      <c r="B531" t="inlineStr">
        <is>
          <t>Gahaz Bandit's Lair</t>
        </is>
      </c>
      <c r="C531" t="inlineStr">
        <is>
          <t>Mass of Pure Magic</t>
        </is>
      </c>
      <c r="D531" t="n">
        <v>1.221236</v>
      </c>
      <c r="E531" t="n">
        <v>4316.1</v>
      </c>
      <c r="F531" s="3" t="n">
        <v>0.2829489585505433</v>
      </c>
      <c r="G531" t="n">
        <v>3534</v>
      </c>
      <c r="H531" s="3" t="n">
        <v>0.2052268434397776</v>
      </c>
      <c r="I531" s="3" t="n">
        <v>0.3803934560879997</v>
      </c>
      <c r="J531" t="n">
        <v>43.6</v>
      </c>
      <c r="K531">
        <f>IF(IFERROR(INDEX(Spots!$K$2:$K$96,MATCH(A531,Spots!$A$2:$A$96,0)),"")="","",IFERROR(INDEX(Spots!$K$2:$K$96,MATCH(A531,Spots!$A$2:$A$96,0)),""))</f>
        <v/>
      </c>
      <c r="L531" s="3">
        <f>IF(OR(K531="",F531=""),"",F531/1000*K531*100)</f>
        <v/>
      </c>
      <c r="M531">
        <f>IF(OR(L531="",L531=0),"",ROUND(100/L531,0))</f>
        <v/>
      </c>
      <c r="N531" t="inlineStr">
        <is>
          <t>low sample</t>
        </is>
      </c>
    </row>
    <row r="532">
      <c r="A532" t="n">
        <v>43</v>
      </c>
      <c r="B532" t="inlineStr">
        <is>
          <t>Gahaz Bandit's Lair</t>
        </is>
      </c>
      <c r="C532" t="inlineStr">
        <is>
          <t>Yona's Fragment</t>
        </is>
      </c>
      <c r="D532" t="n">
        <v>0.71629233</v>
      </c>
      <c r="E532" t="n">
        <v>4316.1</v>
      </c>
      <c r="F532" s="3" t="n">
        <v>0.1659582331271287</v>
      </c>
      <c r="G532" t="n">
        <v>6026</v>
      </c>
      <c r="H532" s="3" t="n">
        <v>0.1079422322644591</v>
      </c>
      <c r="I532" s="3" t="n">
        <v>0.2439652739567637</v>
      </c>
      <c r="J532" t="n">
        <v>25.6</v>
      </c>
      <c r="K532">
        <f>IF(IFERROR(INDEX(Spots!$K$2:$K$96,MATCH(A532,Spots!$A$2:$A$96,0)),"")="","",IFERROR(INDEX(Spots!$K$2:$K$96,MATCH(A532,Spots!$A$2:$A$96,0)),""))</f>
        <v/>
      </c>
      <c r="L532" s="3">
        <f>IF(OR(K532="",F532=""),"",F532/1000*K532*100)</f>
        <v/>
      </c>
      <c r="M532">
        <f>IF(OR(L532="",L532=0),"",ROUND(100/L532,0))</f>
        <v/>
      </c>
      <c r="N532" t="inlineStr">
        <is>
          <t>low sample</t>
        </is>
      </c>
    </row>
    <row r="533">
      <c r="A533" t="n">
        <v>43</v>
      </c>
      <c r="B533" t="inlineStr">
        <is>
          <t>Gahaz Bandit's Lair</t>
        </is>
      </c>
      <c r="C533" t="inlineStr">
        <is>
          <t>Imperfect Lightstone of Fire</t>
        </is>
      </c>
      <c r="D533" t="n">
        <v>0.40309393</v>
      </c>
      <c r="E533" t="n">
        <v>4316.1</v>
      </c>
      <c r="F533" s="3" t="n">
        <v>0.0933930933018234</v>
      </c>
      <c r="G533" t="n">
        <v>10707</v>
      </c>
      <c r="H533" s="3" t="n">
        <v>0.05149574521838142</v>
      </c>
      <c r="I533" s="3" t="n">
        <v>0.155649843893911</v>
      </c>
      <c r="J533" t="n">
        <v>14.4</v>
      </c>
      <c r="K533">
        <f>IF(IFERROR(INDEX(Spots!$K$2:$K$96,MATCH(A533,Spots!$A$2:$A$96,0)),"")="","",IFERROR(INDEX(Spots!$K$2:$K$96,MATCH(A533,Spots!$A$2:$A$96,0)),""))</f>
        <v/>
      </c>
      <c r="L533" s="3">
        <f>IF(OR(K533="",F533=""),"",F533/1000*K533*100)</f>
        <v/>
      </c>
      <c r="M533">
        <f>IF(OR(L533="",L533=0),"",ROUND(100/L533,0))</f>
        <v/>
      </c>
      <c r="N533" t="inlineStr">
        <is>
          <t>low sample</t>
        </is>
      </c>
    </row>
    <row r="534">
      <c r="A534" t="n">
        <v>43</v>
      </c>
      <c r="B534" t="inlineStr">
        <is>
          <t>Gahaz Bandit's Lair</t>
        </is>
      </c>
      <c r="C534" t="inlineStr">
        <is>
          <t>Black Spirit's Claw Piece</t>
        </is>
      </c>
      <c r="D534" t="n">
        <v>0.35008809</v>
      </c>
      <c r="E534" t="n">
        <v>4316.1</v>
      </c>
      <c r="F534" s="3" t="n">
        <v>0.08111213595607145</v>
      </c>
      <c r="G534" t="n">
        <v>12329</v>
      </c>
      <c r="H534" s="3" t="n">
        <v>0.04251168028948381</v>
      </c>
      <c r="I534" s="3" t="n">
        <v>0.1401765168748573</v>
      </c>
      <c r="J534" t="n">
        <v>12.5</v>
      </c>
      <c r="K534">
        <f>IF(IFERROR(INDEX(Spots!$K$2:$K$96,MATCH(A534,Spots!$A$2:$A$96,0)),"")="","",IFERROR(INDEX(Spots!$K$2:$K$96,MATCH(A534,Spots!$A$2:$A$96,0)),""))</f>
        <v/>
      </c>
      <c r="L534" s="3">
        <f>IF(OR(K534="",F534=""),"",F534/1000*K534*100)</f>
        <v/>
      </c>
      <c r="M534">
        <f>IF(OR(L534="",L534=0),"",ROUND(100/L534,0))</f>
        <v/>
      </c>
      <c r="N534" t="inlineStr">
        <is>
          <t>low sample</t>
        </is>
      </c>
    </row>
    <row r="535">
      <c r="A535" t="n">
        <v>43</v>
      </c>
      <c r="B535" t="inlineStr">
        <is>
          <t>Gahaz Bandit's Lair</t>
        </is>
      </c>
      <c r="C535" t="inlineStr">
        <is>
          <t>Any Artifact</t>
        </is>
      </c>
      <c r="D535" t="n">
        <v>0.14035819</v>
      </c>
      <c r="E535" t="n">
        <v>4316.1</v>
      </c>
      <c r="F535" s="3" t="n">
        <v>0.03251967980352633</v>
      </c>
      <c r="G535" t="n">
        <v>30751</v>
      </c>
      <c r="H535" s="3" t="n">
        <v>0.01049288529085501</v>
      </c>
      <c r="I535" s="3" t="n">
        <v>0.07583909925698351</v>
      </c>
      <c r="J535" t="n">
        <v>5</v>
      </c>
      <c r="K535">
        <f>IF(IFERROR(INDEX(Spots!$K$2:$K$96,MATCH(A535,Spots!$A$2:$A$96,0)),"")="","",IFERROR(INDEX(Spots!$K$2:$K$96,MATCH(A535,Spots!$A$2:$A$96,0)),""))</f>
        <v/>
      </c>
      <c r="L535" s="3">
        <f>IF(OR(K535="",F535=""),"",F535/1000*K535*100)</f>
        <v/>
      </c>
      <c r="M535">
        <f>IF(OR(L535="",L535=0),"",ROUND(100/L535,0))</f>
        <v/>
      </c>
      <c r="N535" t="inlineStr">
        <is>
          <t>low sample</t>
        </is>
      </c>
    </row>
    <row r="536">
      <c r="A536" t="n">
        <v>43</v>
      </c>
      <c r="B536" t="inlineStr">
        <is>
          <t>Gahaz Bandit's Lair</t>
        </is>
      </c>
      <c r="C536" t="inlineStr">
        <is>
          <t>Imperfect Lightstone of Wind</t>
        </is>
      </c>
      <c r="D536" t="n">
        <v>0.11649915</v>
      </c>
      <c r="E536" t="n">
        <v>4316.1</v>
      </c>
      <c r="F536" s="3" t="n">
        <v>0.02699176339751164</v>
      </c>
      <c r="G536" t="n">
        <v>37048</v>
      </c>
      <c r="H536" s="3" t="n">
        <v>0.007510070872114136</v>
      </c>
      <c r="I536" s="3" t="n">
        <v>0.06796766270151652</v>
      </c>
      <c r="J536" t="n">
        <v>4.2</v>
      </c>
      <c r="K536">
        <f>IF(IFERROR(INDEX(Spots!$K$2:$K$96,MATCH(A536,Spots!$A$2:$A$96,0)),"")="","",IFERROR(INDEX(Spots!$K$2:$K$96,MATCH(A536,Spots!$A$2:$A$96,0)),""))</f>
        <v/>
      </c>
      <c r="L536" s="3">
        <f>IF(OR(K536="",F536=""),"",F536/1000*K536*100)</f>
        <v/>
      </c>
      <c r="M536">
        <f>IF(OR(L536="",L536=0),"",ROUND(100/L536,0))</f>
        <v/>
      </c>
      <c r="N536" t="inlineStr">
        <is>
          <t>low sample</t>
        </is>
      </c>
    </row>
    <row r="537">
      <c r="A537" t="n">
        <v>43</v>
      </c>
      <c r="B537" t="inlineStr">
        <is>
          <t>Gahaz Bandit's Lair</t>
        </is>
      </c>
      <c r="C537" t="inlineStr">
        <is>
          <t>Imperfect Lightstone of Earth</t>
        </is>
      </c>
      <c r="D537" t="n">
        <v>0.07111261000000001</v>
      </c>
      <c r="E537" t="n">
        <v>4316.1</v>
      </c>
      <c r="F537" s="3" t="n">
        <v>0.01647612659576933</v>
      </c>
      <c r="G537" t="n">
        <v>60694</v>
      </c>
      <c r="H537" s="3" t="n">
        <v>0.002682962900209073</v>
      </c>
      <c r="I537" s="3" t="n">
        <v>0.05234394689141373</v>
      </c>
      <c r="J537" t="n">
        <v>2.5</v>
      </c>
      <c r="K537">
        <f>IF(IFERROR(INDEX(Spots!$K$2:$K$96,MATCH(A537,Spots!$A$2:$A$96,0)),"")="","",IFERROR(INDEX(Spots!$K$2:$K$96,MATCH(A537,Spots!$A$2:$A$96,0)),""))</f>
        <v/>
      </c>
      <c r="L537" s="3">
        <f>IF(OR(K537="",F537=""),"",F537/1000*K537*100)</f>
        <v/>
      </c>
      <c r="M537">
        <f>IF(OR(L537="",L537=0),"",ROUND(100/L537,0))</f>
        <v/>
      </c>
      <c r="N537" t="inlineStr">
        <is>
          <t>low sample</t>
        </is>
      </c>
    </row>
    <row r="538">
      <c r="A538" t="n">
        <v>43</v>
      </c>
      <c r="B538" t="inlineStr">
        <is>
          <t>Gahaz Bandit's Lair</t>
        </is>
      </c>
      <c r="C538" t="inlineStr">
        <is>
          <t>Serap's Necklace</t>
        </is>
      </c>
      <c r="D538" t="n">
        <v>0.02231148</v>
      </c>
      <c r="E538" t="n">
        <v>4316.1</v>
      </c>
      <c r="F538" s="3" t="n">
        <v>0.00516936122888719</v>
      </c>
      <c r="G538" t="n">
        <v>193447</v>
      </c>
      <c r="H538" s="3" t="n">
        <v>1.089828408033326e-05</v>
      </c>
      <c r="I538" s="3" t="n">
        <v>0.03379114928201379</v>
      </c>
      <c r="J538" t="n">
        <v>0.8</v>
      </c>
      <c r="K538">
        <f>IF(IFERROR(INDEX(Spots!$K$2:$K$96,MATCH(A538,Spots!$A$2:$A$96,0)),"")="","",IFERROR(INDEX(Spots!$K$2:$K$96,MATCH(A538,Spots!$A$2:$A$96,0)),""))</f>
        <v/>
      </c>
      <c r="L538" s="3">
        <f>IF(OR(K538="",F538=""),"",F538/1000*K538*100)</f>
        <v/>
      </c>
      <c r="M538">
        <f>IF(OR(L538="",L538=0),"",ROUND(100/L538,0))</f>
        <v/>
      </c>
      <c r="N538" t="inlineStr">
        <is>
          <t>low sample</t>
        </is>
      </c>
    </row>
    <row r="539">
      <c r="A539" t="n">
        <v>43</v>
      </c>
      <c r="B539" t="inlineStr">
        <is>
          <t>Gahaz Bandit's Lair</t>
        </is>
      </c>
      <c r="C539" t="inlineStr">
        <is>
          <t>Specter's Energy</t>
        </is>
      </c>
      <c r="D539" t="n">
        <v>0.01830698</v>
      </c>
      <c r="E539" t="n">
        <v>4316.1</v>
      </c>
      <c r="F539" s="3" t="n">
        <v>0.004241556034382892</v>
      </c>
      <c r="G539" t="n">
        <v>235763</v>
      </c>
      <c r="H539" s="3" t="n">
        <v>4.257864841515348e-08</v>
      </c>
      <c r="I539" s="3" t="n">
        <v>0.03211398086719334</v>
      </c>
      <c r="J539" t="n">
        <v>0.7</v>
      </c>
      <c r="K539">
        <f>IF(IFERROR(INDEX(Spots!$K$2:$K$96,MATCH(A539,Spots!$A$2:$A$96,0)),"")="","",IFERROR(INDEX(Spots!$K$2:$K$96,MATCH(A539,Spots!$A$2:$A$96,0)),""))</f>
        <v/>
      </c>
      <c r="L539" s="3">
        <f>IF(OR(K539="",F539=""),"",F539/1000*K539*100)</f>
        <v/>
      </c>
      <c r="M539">
        <f>IF(OR(L539="",L539=0),"",ROUND(100/L539,0))</f>
        <v/>
      </c>
      <c r="N539" t="inlineStr">
        <is>
          <t>low sample</t>
        </is>
      </c>
    </row>
    <row r="540">
      <c r="A540" t="n">
        <v>43</v>
      </c>
      <c r="B540" t="inlineStr">
        <is>
          <t>Gahaz Bandit's Lair</t>
        </is>
      </c>
      <c r="C540" t="inlineStr">
        <is>
          <t>Great Marni's Stone (Gahaz Bandits)</t>
        </is>
      </c>
      <c r="D540" t="n">
        <v>0.00659395</v>
      </c>
      <c r="E540" t="n">
        <v>4316.1</v>
      </c>
      <c r="F540" s="3" t="n">
        <v>0.001527756539468501</v>
      </c>
      <c r="G540" t="n">
        <v>654555</v>
      </c>
      <c r="H540" s="3" t="n">
        <v>0</v>
      </c>
      <c r="I540" s="3" t="n">
        <v>0.02695532441652128</v>
      </c>
      <c r="J540" t="n">
        <v>0.2</v>
      </c>
      <c r="K540">
        <f>IF(IFERROR(INDEX(Spots!$K$2:$K$96,MATCH(A540,Spots!$A$2:$A$96,0)),"")="","",IFERROR(INDEX(Spots!$K$2:$K$96,MATCH(A540,Spots!$A$2:$A$96,0)),""))</f>
        <v/>
      </c>
      <c r="L540" s="3">
        <f>IF(OR(K540="",F540=""),"",F540/1000*K540*100)</f>
        <v/>
      </c>
      <c r="M540">
        <f>IF(OR(L540="",L540=0),"",ROUND(100/L540,0))</f>
        <v/>
      </c>
      <c r="N540" t="inlineStr">
        <is>
          <t>low sample</t>
        </is>
      </c>
    </row>
    <row r="541">
      <c r="A541" t="n">
        <v>212</v>
      </c>
      <c r="B541" t="inlineStr">
        <is>
          <t>Gavinya Coastal Cliff</t>
        </is>
      </c>
      <c r="C541" t="inlineStr">
        <is>
          <t>Black Stone</t>
        </is>
      </c>
      <c r="D541" t="n">
        <v>22.66</v>
      </c>
      <c r="E541" t="n">
        <v>6222.2</v>
      </c>
      <c r="F541" s="3" t="n">
        <v>3.641798720709717</v>
      </c>
      <c r="G541" t="n">
        <v>275</v>
      </c>
      <c r="H541" s="3" t="n">
        <v>3.598669160919113</v>
      </c>
      <c r="I541" s="3" t="n">
        <v>3.685316180339658</v>
      </c>
      <c r="J541" t="n">
        <v>27229.8</v>
      </c>
      <c r="K541">
        <f>IF(IFERROR(INDEX(Spots!$K$2:$K$96,MATCH(A541,Spots!$A$2:$A$96,0)),"")="","",IFERROR(INDEX(Spots!$K$2:$K$96,MATCH(A541,Spots!$A$2:$A$96,0)),""))</f>
        <v/>
      </c>
      <c r="L541" s="3">
        <f>IF(OR(K541="",F541=""),"",F541/1000*K541*100)</f>
        <v/>
      </c>
      <c r="M541">
        <f>IF(OR(L541="",L541=0),"",ROUND(100/L541,0))</f>
        <v/>
      </c>
      <c r="N541" t="inlineStr"/>
    </row>
    <row r="542">
      <c r="A542" t="n">
        <v>212</v>
      </c>
      <c r="B542" t="inlineStr">
        <is>
          <t>Gavinya Coastal Cliff</t>
        </is>
      </c>
      <c r="C542" t="inlineStr">
        <is>
          <t>Ancient Spirit Dust</t>
        </is>
      </c>
      <c r="D542" t="n">
        <v>22.146</v>
      </c>
      <c r="E542" t="n">
        <v>6222.2</v>
      </c>
      <c r="F542" s="3" t="n">
        <v>3.55919128282601</v>
      </c>
      <c r="G542" t="n">
        <v>281</v>
      </c>
      <c r="H542" s="3" t="n">
        <v>3.516555133726181</v>
      </c>
      <c r="I542" s="3" t="n">
        <v>3.602215340905653</v>
      </c>
      <c r="J542" t="n">
        <v>26612.1</v>
      </c>
      <c r="K542">
        <f>IF(IFERROR(INDEX(Spots!$K$2:$K$96,MATCH(A542,Spots!$A$2:$A$96,0)),"")="","",IFERROR(INDEX(Spots!$K$2:$K$96,MATCH(A542,Spots!$A$2:$A$96,0)),""))</f>
        <v/>
      </c>
      <c r="L542" s="3">
        <f>IF(OR(K542="",F542=""),"",F542/1000*K542*100)</f>
        <v/>
      </c>
      <c r="M542">
        <f>IF(OR(L542="",L542=0),"",ROUND(100/L542,0))</f>
        <v/>
      </c>
      <c r="N542" t="inlineStr"/>
    </row>
    <row r="543">
      <c r="A543" t="n">
        <v>212</v>
      </c>
      <c r="B543" t="inlineStr">
        <is>
          <t>Gavinya Coastal Cliff</t>
        </is>
      </c>
      <c r="C543" t="inlineStr">
        <is>
          <t>Sealed Black Magic Crystal</t>
        </is>
      </c>
      <c r="D543" t="n">
        <v>10.272</v>
      </c>
      <c r="E543" t="n">
        <v>6222.2</v>
      </c>
      <c r="F543" s="3" t="n">
        <v>1.650863038796567</v>
      </c>
      <c r="G543" t="n">
        <v>606</v>
      </c>
      <c r="H543" s="3" t="n">
        <v>1.621866137220054</v>
      </c>
      <c r="I543" s="3" t="n">
        <v>1.680248224388811</v>
      </c>
      <c r="J543" t="n">
        <v>12343.5</v>
      </c>
      <c r="K543">
        <f>IF(IFERROR(INDEX(Spots!$K$2:$K$96,MATCH(A543,Spots!$A$2:$A$96,0)),"")="","",IFERROR(INDEX(Spots!$K$2:$K$96,MATCH(A543,Spots!$A$2:$A$96,0)),""))</f>
        <v/>
      </c>
      <c r="L543" s="3">
        <f>IF(OR(K543="",F543=""),"",F543/1000*K543*100)</f>
        <v/>
      </c>
      <c r="M543">
        <f>IF(OR(L543="",L543=0),"",ROUND(100/L543,0))</f>
        <v/>
      </c>
      <c r="N543" t="inlineStr"/>
    </row>
    <row r="544">
      <c r="A544" t="n">
        <v>212</v>
      </c>
      <c r="B544" t="inlineStr">
        <is>
          <t>Gavinya Coastal Cliff</t>
        </is>
      </c>
      <c r="C544" t="inlineStr">
        <is>
          <t>Caphras Stone</t>
        </is>
      </c>
      <c r="D544" t="n">
        <v>10.086</v>
      </c>
      <c r="E544" t="n">
        <v>6222.2</v>
      </c>
      <c r="F544" s="3" t="n">
        <v>1.620970074893125</v>
      </c>
      <c r="G544" t="n">
        <v>617</v>
      </c>
      <c r="H544" s="3" t="n">
        <v>1.592238058596574</v>
      </c>
      <c r="I544" s="3" t="n">
        <v>1.650090385991043</v>
      </c>
      <c r="J544" t="n">
        <v>12120</v>
      </c>
      <c r="K544">
        <f>IF(IFERROR(INDEX(Spots!$K$2:$K$96,MATCH(A544,Spots!$A$2:$A$96,0)),"")="","",IFERROR(INDEX(Spots!$K$2:$K$96,MATCH(A544,Spots!$A$2:$A$96,0)),""))</f>
        <v/>
      </c>
      <c r="L544" s="3">
        <f>IF(OR(K544="",F544=""),"",F544/1000*K544*100)</f>
        <v/>
      </c>
      <c r="M544">
        <f>IF(OR(L544="",L544=0),"",ROUND(100/L544,0))</f>
        <v/>
      </c>
      <c r="N544" t="inlineStr"/>
    </row>
    <row r="545">
      <c r="A545" t="n">
        <v>212</v>
      </c>
      <c r="B545" t="inlineStr">
        <is>
          <t>Gavinya Coastal Cliff</t>
        </is>
      </c>
      <c r="C545" t="inlineStr">
        <is>
          <t>Sulfur Golem Power Core Fragment</t>
        </is>
      </c>
      <c r="D545" t="n">
        <v>0.74868374</v>
      </c>
      <c r="E545" t="n">
        <v>6222.2</v>
      </c>
      <c r="F545" s="3" t="n">
        <v>0.1203246022307223</v>
      </c>
      <c r="G545" t="n">
        <v>8311</v>
      </c>
      <c r="H545" s="3" t="n">
        <v>0.1125893103395441</v>
      </c>
      <c r="I545" s="3" t="n">
        <v>0.1284513383685464</v>
      </c>
      <c r="J545" t="n">
        <v>899.7</v>
      </c>
      <c r="K545">
        <f>IF(IFERROR(INDEX(Spots!$K$2:$K$96,MATCH(A545,Spots!$A$2:$A$96,0)),"")="","",IFERROR(INDEX(Spots!$K$2:$K$96,MATCH(A545,Spots!$A$2:$A$96,0)),""))</f>
        <v/>
      </c>
      <c r="L545" s="3">
        <f>IF(OR(K545="",F545=""),"",F545/1000*K545*100)</f>
        <v/>
      </c>
      <c r="M545">
        <f>IF(OR(L545="",L545=0),"",ROUND(100/L545,0))</f>
        <v/>
      </c>
      <c r="N545" t="inlineStr"/>
    </row>
    <row r="546">
      <c r="A546" t="n">
        <v>212</v>
      </c>
      <c r="B546" t="inlineStr">
        <is>
          <t>Gavinya Coastal Cliff</t>
        </is>
      </c>
      <c r="C546" t="inlineStr">
        <is>
          <t>Turquoise Primordial Luster - Edana</t>
        </is>
      </c>
      <c r="D546" t="n">
        <v>0.28650275</v>
      </c>
      <c r="E546" t="n">
        <v>6222.2</v>
      </c>
      <c r="F546" s="3" t="n">
        <v>0.04604524926874738</v>
      </c>
      <c r="G546" t="n">
        <v>21718</v>
      </c>
      <c r="H546" s="3" t="n">
        <v>0.04130912049829847</v>
      </c>
      <c r="I546" s="3" t="n">
        <v>0.05117546334516811</v>
      </c>
      <c r="J546" t="n">
        <v>344.3</v>
      </c>
      <c r="K546">
        <f>IF(IFERROR(INDEX(Spots!$K$2:$K$96,MATCH(A546,Spots!$A$2:$A$96,0)),"")="","",IFERROR(INDEX(Spots!$K$2:$K$96,MATCH(A546,Spots!$A$2:$A$96,0)),""))</f>
        <v/>
      </c>
      <c r="L546" s="3">
        <f>IF(OR(K546="",F546=""),"",F546/1000*K546*100)</f>
        <v/>
      </c>
      <c r="M546">
        <f>IF(OR(L546="",L546=0),"",ROUND(100/L546,0))</f>
        <v/>
      </c>
      <c r="N546" t="inlineStr"/>
    </row>
    <row r="547">
      <c r="A547" t="n">
        <v>212</v>
      </c>
      <c r="B547" t="inlineStr">
        <is>
          <t>Gavinya Coastal Cliff</t>
        </is>
      </c>
      <c r="C547" t="inlineStr">
        <is>
          <t>Turquoise Primordial Luster - Sovereign</t>
        </is>
      </c>
      <c r="D547" t="n">
        <v>0.22703707</v>
      </c>
      <c r="E547" t="n">
        <v>6222.2</v>
      </c>
      <c r="F547" s="3" t="n">
        <v>0.03648823085082447</v>
      </c>
      <c r="G547" t="n">
        <v>27406</v>
      </c>
      <c r="H547" s="3" t="n">
        <v>0.03228632241421893</v>
      </c>
      <c r="I547" s="3" t="n">
        <v>0.04108507313207263</v>
      </c>
      <c r="J547" t="n">
        <v>272.8</v>
      </c>
      <c r="K547">
        <f>IF(IFERROR(INDEX(Spots!$K$2:$K$96,MATCH(A547,Spots!$A$2:$A$96,0)),"")="","",IFERROR(INDEX(Spots!$K$2:$K$96,MATCH(A547,Spots!$A$2:$A$96,0)),""))</f>
        <v/>
      </c>
      <c r="L547" s="3">
        <f>IF(OR(K547="",F547=""),"",F547/1000*K547*100)</f>
        <v/>
      </c>
      <c r="M547">
        <f>IF(OR(L547="",L547=0),"",ROUND(100/L547,0))</f>
        <v/>
      </c>
      <c r="N547" t="inlineStr"/>
    </row>
    <row r="548">
      <c r="A548" t="n">
        <v>212</v>
      </c>
      <c r="B548" t="inlineStr">
        <is>
          <t>Gavinya Coastal Cliff</t>
        </is>
      </c>
      <c r="C548" t="inlineStr">
        <is>
          <t>Gavinya Coastal Cliff Paint</t>
        </is>
      </c>
      <c r="D548" t="n">
        <v>0.17818379</v>
      </c>
      <c r="E548" t="n">
        <v>6222.2</v>
      </c>
      <c r="F548" s="3" t="n">
        <v>0.02863678280993861</v>
      </c>
      <c r="G548" t="n">
        <v>34920</v>
      </c>
      <c r="H548" s="3" t="n">
        <v>0.02492904532717478</v>
      </c>
      <c r="I548" s="3" t="n">
        <v>0.03274044579272522</v>
      </c>
      <c r="J548" t="n">
        <v>214.1</v>
      </c>
      <c r="K548">
        <f>IF(IFERROR(INDEX(Spots!$K$2:$K$96,MATCH(A548,Spots!$A$2:$A$96,0)),"")="","",IFERROR(INDEX(Spots!$K$2:$K$96,MATCH(A548,Spots!$A$2:$A$96,0)),""))</f>
        <v/>
      </c>
      <c r="L548" s="3">
        <f>IF(OR(K548="",F548=""),"",F548/1000*K548*100)</f>
        <v/>
      </c>
      <c r="M548">
        <f>IF(OR(L548="",L548=0),"",ROUND(100/L548,0))</f>
        <v/>
      </c>
      <c r="N548" t="inlineStr"/>
    </row>
    <row r="549">
      <c r="A549" t="n">
        <v>212</v>
      </c>
      <c r="B549" t="inlineStr">
        <is>
          <t>Gavinya Coastal Cliff</t>
        </is>
      </c>
      <c r="C549" t="inlineStr">
        <is>
          <t>Deboreka Ring</t>
        </is>
      </c>
      <c r="D549" t="n">
        <v>0.14038151</v>
      </c>
      <c r="E549" t="n">
        <v>6222.2</v>
      </c>
      <c r="F549" s="3" t="n">
        <v>0.02256139468355244</v>
      </c>
      <c r="G549" t="n">
        <v>44324</v>
      </c>
      <c r="H549" s="3" t="n">
        <v>0.01928493461248216</v>
      </c>
      <c r="I549" s="3" t="n">
        <v>0.02623487617599634</v>
      </c>
      <c r="J549" t="n">
        <v>168.7</v>
      </c>
      <c r="K549">
        <f>IF(IFERROR(INDEX(Spots!$K$2:$K$96,MATCH(A549,Spots!$A$2:$A$96,0)),"")="","",IFERROR(INDEX(Spots!$K$2:$K$96,MATCH(A549,Spots!$A$2:$A$96,0)),""))</f>
        <v/>
      </c>
      <c r="L549" s="3">
        <f>IF(OR(K549="",F549=""),"",F549/1000*K549*100)</f>
        <v/>
      </c>
      <c r="M549">
        <f>IF(OR(L549="",L549=0),"",ROUND(100/L549,0))</f>
        <v/>
      </c>
      <c r="N549" t="inlineStr"/>
    </row>
    <row r="550">
      <c r="A550" t="n">
        <v>212</v>
      </c>
      <c r="B550" t="inlineStr">
        <is>
          <t>Gavinya Coastal Cliff</t>
        </is>
      </c>
      <c r="C550" t="inlineStr">
        <is>
          <t>Deboreka Earring</t>
        </is>
      </c>
      <c r="D550" t="n">
        <v>0.14004227</v>
      </c>
      <c r="E550" t="n">
        <v>6222.2</v>
      </c>
      <c r="F550" s="3" t="n">
        <v>0.0225068737745492</v>
      </c>
      <c r="G550" t="n">
        <v>44431</v>
      </c>
      <c r="H550" s="3" t="n">
        <v>0.01923453172806255</v>
      </c>
      <c r="I550" s="3" t="n">
        <v>0.02617624901890372</v>
      </c>
      <c r="J550" t="n">
        <v>168.3</v>
      </c>
      <c r="K550">
        <f>IF(IFERROR(INDEX(Spots!$K$2:$K$96,MATCH(A550,Spots!$A$2:$A$96,0)),"")="","",IFERROR(INDEX(Spots!$K$2:$K$96,MATCH(A550,Spots!$A$2:$A$96,0)),""))</f>
        <v/>
      </c>
      <c r="L550" s="3">
        <f>IF(OR(K550="",F550=""),"",F550/1000*K550*100)</f>
        <v/>
      </c>
      <c r="M550">
        <f>IF(OR(L550="",L550=0),"",ROUND(100/L550,0))</f>
        <v/>
      </c>
      <c r="N550" t="inlineStr"/>
    </row>
    <row r="551">
      <c r="A551" t="n">
        <v>212</v>
      </c>
      <c r="B551" t="inlineStr">
        <is>
          <t>Gavinya Coastal Cliff</t>
        </is>
      </c>
      <c r="C551" t="inlineStr">
        <is>
          <t>Deboreka Belt</t>
        </is>
      </c>
      <c r="D551" t="n">
        <v>0.13476561</v>
      </c>
      <c r="E551" t="n">
        <v>6222.2</v>
      </c>
      <c r="F551" s="3" t="n">
        <v>0.02165883610298608</v>
      </c>
      <c r="G551" t="n">
        <v>46171</v>
      </c>
      <c r="H551" s="3" t="n">
        <v>0.01845120195845494</v>
      </c>
      <c r="I551" s="3" t="n">
        <v>0.02526369223019386</v>
      </c>
      <c r="J551" t="n">
        <v>161.9</v>
      </c>
      <c r="K551">
        <f>IF(IFERROR(INDEX(Spots!$K$2:$K$96,MATCH(A551,Spots!$A$2:$A$96,0)),"")="","",IFERROR(INDEX(Spots!$K$2:$K$96,MATCH(A551,Spots!$A$2:$A$96,0)),""))</f>
        <v/>
      </c>
      <c r="L551" s="3">
        <f>IF(OR(K551="",F551=""),"",F551/1000*K551*100)</f>
        <v/>
      </c>
      <c r="M551">
        <f>IF(OR(L551="",L551=0),"",ROUND(100/L551,0))</f>
        <v/>
      </c>
      <c r="N551" t="inlineStr"/>
    </row>
    <row r="552">
      <c r="A552" t="n">
        <v>212</v>
      </c>
      <c r="B552" t="inlineStr">
        <is>
          <t>Gavinya Coastal Cliff</t>
        </is>
      </c>
      <c r="C552" t="inlineStr">
        <is>
          <t>Deboreka Necklace</t>
        </is>
      </c>
      <c r="D552" t="n">
        <v>0.13208072</v>
      </c>
      <c r="E552" t="n">
        <v>6222.2</v>
      </c>
      <c r="F552" s="3" t="n">
        <v>0.02122733438333708</v>
      </c>
      <c r="G552" t="n">
        <v>47109</v>
      </c>
      <c r="H552" s="3" t="n">
        <v>0.01805311200073131</v>
      </c>
      <c r="I552" s="3" t="n">
        <v>0.02479887906107961</v>
      </c>
      <c r="J552" t="n">
        <v>158.7</v>
      </c>
      <c r="K552">
        <f>IF(IFERROR(INDEX(Spots!$K$2:$K$96,MATCH(A552,Spots!$A$2:$A$96,0)),"")="","",IFERROR(INDEX(Spots!$K$2:$K$96,MATCH(A552,Spots!$A$2:$A$96,0)),""))</f>
        <v/>
      </c>
      <c r="L552" s="3">
        <f>IF(OR(K552="",F552=""),"",F552/1000*K552*100)</f>
        <v/>
      </c>
      <c r="M552">
        <f>IF(OR(L552="",L552=0),"",ROUND(100/L552,0))</f>
        <v/>
      </c>
      <c r="N552" t="inlineStr"/>
    </row>
    <row r="553">
      <c r="A553" t="n">
        <v>212</v>
      </c>
      <c r="B553" t="inlineStr">
        <is>
          <t>Gavinya Coastal Cliff</t>
        </is>
      </c>
      <c r="C553" t="inlineStr">
        <is>
          <t>Sulfur Golem Power Core</t>
        </is>
      </c>
      <c r="D553" t="n">
        <v>0.00300197</v>
      </c>
      <c r="E553" t="n">
        <v>6222.2</v>
      </c>
      <c r="F553" s="3" t="n">
        <v>0.0004824611873613835</v>
      </c>
      <c r="G553" t="n">
        <v>2072706</v>
      </c>
      <c r="H553" s="3" t="n">
        <v>0.0001179092581679626</v>
      </c>
      <c r="I553" s="3" t="n">
        <v>0.001293057947305571</v>
      </c>
      <c r="J553" t="n">
        <v>3.6</v>
      </c>
      <c r="K553">
        <f>IF(IFERROR(INDEX(Spots!$K$2:$K$96,MATCH(A553,Spots!$A$2:$A$96,0)),"")="","",IFERROR(INDEX(Spots!$K$2:$K$96,MATCH(A553,Spots!$A$2:$A$96,0)),""))</f>
        <v/>
      </c>
      <c r="L553" s="3">
        <f>IF(OR(K553="",F553=""),"",F553/1000*K553*100)</f>
        <v/>
      </c>
      <c r="M553">
        <f>IF(OR(L553="",L553=0),"",ROUND(100/L553,0))</f>
        <v/>
      </c>
      <c r="N553" t="inlineStr">
        <is>
          <t>low sample</t>
        </is>
      </c>
    </row>
    <row r="554">
      <c r="A554" t="n">
        <v>212</v>
      </c>
      <c r="B554" t="inlineStr">
        <is>
          <t>Gavinya Coastal Cliff</t>
        </is>
      </c>
      <c r="C554" t="inlineStr">
        <is>
          <t>Turquoise Primordial Pigment - Sovereign</t>
        </is>
      </c>
      <c r="D554" t="n">
        <v>0.00216952</v>
      </c>
      <c r="E554" t="n">
        <v>6222.2</v>
      </c>
      <c r="F554" s="3" t="n">
        <v>0.0003486741024075086</v>
      </c>
      <c r="G554" t="n">
        <v>2868008</v>
      </c>
      <c r="H554" s="3" t="n">
        <v>5.888442147010888e-05</v>
      </c>
      <c r="I554" s="3" t="n">
        <v>0.001092477156011373</v>
      </c>
      <c r="J554" t="n">
        <v>2.6</v>
      </c>
      <c r="K554">
        <f>IF(IFERROR(INDEX(Spots!$K$2:$K$96,MATCH(A554,Spots!$A$2:$A$96,0)),"")="","",IFERROR(INDEX(Spots!$K$2:$K$96,MATCH(A554,Spots!$A$2:$A$96,0)),""))</f>
        <v/>
      </c>
      <c r="L554" s="3">
        <f>IF(OR(K554="",F554=""),"",F554/1000*K554*100)</f>
        <v/>
      </c>
      <c r="M554">
        <f>IF(OR(L554="",L554=0),"",ROUND(100/L554,0))</f>
        <v/>
      </c>
      <c r="N554" t="inlineStr">
        <is>
          <t>low sample</t>
        </is>
      </c>
    </row>
    <row r="555">
      <c r="A555" t="n">
        <v>212</v>
      </c>
      <c r="B555" t="inlineStr">
        <is>
          <t>Gavinya Coastal Cliff</t>
        </is>
      </c>
      <c r="C555" t="inlineStr">
        <is>
          <t>Turquoise Primordial Pigment - Edana</t>
        </is>
      </c>
      <c r="D555" t="n">
        <v>0.00176443</v>
      </c>
      <c r="E555" t="n">
        <v>6222.2</v>
      </c>
      <c r="F555" s="3" t="n">
        <v>0.0002835701198932853</v>
      </c>
      <c r="G555" t="n">
        <v>3526465</v>
      </c>
      <c r="H555" s="3" t="n">
        <v>3.521525509521861e-05</v>
      </c>
      <c r="I555" s="3" t="n">
        <v>0.0009912341777603435</v>
      </c>
      <c r="J555" t="n">
        <v>2.1</v>
      </c>
      <c r="K555">
        <f>IF(IFERROR(INDEX(Spots!$K$2:$K$96,MATCH(A555,Spots!$A$2:$A$96,0)),"")="","",IFERROR(INDEX(Spots!$K$2:$K$96,MATCH(A555,Spots!$A$2:$A$96,0)),""))</f>
        <v/>
      </c>
      <c r="L555" s="3">
        <f>IF(OR(K555="",F555=""),"",F555/1000*K555*100)</f>
        <v/>
      </c>
      <c r="M555">
        <f>IF(OR(L555="",L555=0),"",ROUND(100/L555,0))</f>
        <v/>
      </c>
      <c r="N555" t="inlineStr">
        <is>
          <t>low sample</t>
        </is>
      </c>
    </row>
    <row r="556">
      <c r="A556" t="n">
        <v>212</v>
      </c>
      <c r="B556" t="inlineStr">
        <is>
          <t>Gavinya Coastal Cliff</t>
        </is>
      </c>
      <c r="C556" t="inlineStr">
        <is>
          <t>Al Yurad's Ring Piece</t>
        </is>
      </c>
      <c r="D556" t="n">
        <v>0.00117824</v>
      </c>
      <c r="E556" t="n">
        <v>6222.2</v>
      </c>
      <c r="F556" s="3" t="n">
        <v>0.0001893606762881296</v>
      </c>
      <c r="G556" t="n">
        <v>5280927</v>
      </c>
      <c r="H556" s="3" t="n">
        <v>9.783940966185223e-06</v>
      </c>
      <c r="I556" s="3" t="n">
        <v>0.0008387470214961878</v>
      </c>
      <c r="J556" t="n">
        <v>1.4</v>
      </c>
      <c r="K556">
        <f>IF(IFERROR(INDEX(Spots!$K$2:$K$96,MATCH(A556,Spots!$A$2:$A$96,0)),"")="","",IFERROR(INDEX(Spots!$K$2:$K$96,MATCH(A556,Spots!$A$2:$A$96,0)),""))</f>
        <v/>
      </c>
      <c r="L556" s="3">
        <f>IF(OR(K556="",F556=""),"",F556/1000*K556*100)</f>
        <v/>
      </c>
      <c r="M556">
        <f>IF(OR(L556="",L556=0),"",ROUND(100/L556,0))</f>
        <v/>
      </c>
      <c r="N556" t="inlineStr">
        <is>
          <t>low sample</t>
        </is>
      </c>
    </row>
    <row r="557">
      <c r="A557" t="n">
        <v>33</v>
      </c>
      <c r="B557" t="inlineStr">
        <is>
          <t>Gyfin Rhasia Temple</t>
        </is>
      </c>
      <c r="C557" t="inlineStr">
        <is>
          <t>Ancient Spirit Dust</t>
        </is>
      </c>
      <c r="D557" t="n">
        <v>31.402</v>
      </c>
      <c r="E557" t="n">
        <v>8901.200000000001</v>
      </c>
      <c r="F557" s="3" t="n">
        <v>3.527838943063856</v>
      </c>
      <c r="G557" t="n">
        <v>283</v>
      </c>
      <c r="H557" s="3" t="n">
        <v>3.230857378535852</v>
      </c>
      <c r="I557" s="3" t="n">
        <v>3.844777430641706</v>
      </c>
      <c r="J557" t="n">
        <v>519.2</v>
      </c>
      <c r="K557">
        <f>IF(IFERROR(INDEX(Spots!$K$2:$K$96,MATCH(A557,Spots!$A$2:$A$96,0)),"")="","",IFERROR(INDEX(Spots!$K$2:$K$96,MATCH(A557,Spots!$A$2:$A$96,0)),""))</f>
        <v/>
      </c>
      <c r="L557" s="3">
        <f>IF(OR(K557="",F557=""),"",F557/1000*K557*100)</f>
        <v/>
      </c>
      <c r="M557">
        <f>IF(OR(L557="",L557=0),"",ROUND(100/L557,0))</f>
        <v/>
      </c>
      <c r="N557" t="inlineStr">
        <is>
          <t>low sample</t>
        </is>
      </c>
    </row>
    <row r="558">
      <c r="A558" t="n">
        <v>33</v>
      </c>
      <c r="B558" t="inlineStr">
        <is>
          <t>Gyfin Rhasia Temple</t>
        </is>
      </c>
      <c r="C558" t="inlineStr">
        <is>
          <t>Black Stone</t>
        </is>
      </c>
      <c r="D558" t="n">
        <v>22.21</v>
      </c>
      <c r="E558" t="n">
        <v>8901.200000000001</v>
      </c>
      <c r="F558" s="3" t="n">
        <v>2.495169190670921</v>
      </c>
      <c r="G558" t="n">
        <v>401</v>
      </c>
      <c r="H558" s="3" t="n">
        <v>2.246446738936186</v>
      </c>
      <c r="I558" s="3" t="n">
        <v>2.763902616448384</v>
      </c>
      <c r="J558" t="n">
        <v>367.2</v>
      </c>
      <c r="K558">
        <f>IF(IFERROR(INDEX(Spots!$K$2:$K$96,MATCH(A558,Spots!$A$2:$A$96,0)),"")="","",IFERROR(INDEX(Spots!$K$2:$K$96,MATCH(A558,Spots!$A$2:$A$96,0)),""))</f>
        <v/>
      </c>
      <c r="L558" s="3">
        <f>IF(OR(K558="",F558=""),"",F558/1000*K558*100)</f>
        <v/>
      </c>
      <c r="M558">
        <f>IF(OR(L558="",L558=0),"",ROUND(100/L558,0))</f>
        <v/>
      </c>
      <c r="N558" t="inlineStr">
        <is>
          <t>low sample</t>
        </is>
      </c>
    </row>
    <row r="559">
      <c r="A559" t="n">
        <v>33</v>
      </c>
      <c r="B559" t="inlineStr">
        <is>
          <t>Gyfin Rhasia Temple</t>
        </is>
      </c>
      <c r="C559" t="inlineStr">
        <is>
          <t>Caphras Stone</t>
        </is>
      </c>
      <c r="D559" t="n">
        <v>13.795</v>
      </c>
      <c r="E559" t="n">
        <v>8901.200000000001</v>
      </c>
      <c r="F559" s="3" t="n">
        <v>1.549791039410416</v>
      </c>
      <c r="G559" t="n">
        <v>645</v>
      </c>
      <c r="H559" s="3" t="n">
        <v>1.35515936733232</v>
      </c>
      <c r="I559" s="3" t="n">
        <v>1.764524580299419</v>
      </c>
      <c r="J559" t="n">
        <v>228.1</v>
      </c>
      <c r="K559">
        <f>IF(IFERROR(INDEX(Spots!$K$2:$K$96,MATCH(A559,Spots!$A$2:$A$96,0)),"")="","",IFERROR(INDEX(Spots!$K$2:$K$96,MATCH(A559,Spots!$A$2:$A$96,0)),""))</f>
        <v/>
      </c>
      <c r="L559" s="3">
        <f>IF(OR(K559="",F559=""),"",F559/1000*K559*100)</f>
        <v/>
      </c>
      <c r="M559">
        <f>IF(OR(L559="",L559=0),"",ROUND(100/L559,0))</f>
        <v/>
      </c>
      <c r="N559" t="inlineStr">
        <is>
          <t>low sample</t>
        </is>
      </c>
    </row>
    <row r="560">
      <c r="A560" t="n">
        <v>33</v>
      </c>
      <c r="B560" t="inlineStr">
        <is>
          <t>Gyfin Rhasia Temple</t>
        </is>
      </c>
      <c r="C560" t="inlineStr">
        <is>
          <t>Trace of Nature</t>
        </is>
      </c>
      <c r="D560" t="n">
        <v>5.450215</v>
      </c>
      <c r="E560" t="n">
        <v>8901.200000000001</v>
      </c>
      <c r="F560" s="3" t="n">
        <v>0.6123011504066866</v>
      </c>
      <c r="G560" t="n">
        <v>1633</v>
      </c>
      <c r="H560" s="3" t="n">
        <v>0.4924160887515557</v>
      </c>
      <c r="I560" s="3" t="n">
        <v>0.7525381253146668</v>
      </c>
      <c r="J560" t="n">
        <v>90.09999999999999</v>
      </c>
      <c r="K560">
        <f>IF(IFERROR(INDEX(Spots!$K$2:$K$96,MATCH(A560,Spots!$A$2:$A$96,0)),"")="","",IFERROR(INDEX(Spots!$K$2:$K$96,MATCH(A560,Spots!$A$2:$A$96,0)),""))</f>
        <v/>
      </c>
      <c r="L560" s="3">
        <f>IF(OR(K560="",F560=""),"",F560/1000*K560*100)</f>
        <v/>
      </c>
      <c r="M560">
        <f>IF(OR(L560="",L560=0),"",ROUND(100/L560,0))</f>
        <v/>
      </c>
      <c r="N560" t="inlineStr">
        <is>
          <t>low sample</t>
        </is>
      </c>
    </row>
    <row r="561">
      <c r="A561" t="n">
        <v>33</v>
      </c>
      <c r="B561" t="inlineStr">
        <is>
          <t>Gyfin Rhasia Temple</t>
        </is>
      </c>
      <c r="C561" t="inlineStr">
        <is>
          <t>Swaying Wind Shard</t>
        </is>
      </c>
      <c r="D561" t="n">
        <v>3.66267</v>
      </c>
      <c r="E561" t="n">
        <v>8901.200000000001</v>
      </c>
      <c r="F561" s="3" t="n">
        <v>0.4114804745427582</v>
      </c>
      <c r="G561" t="n">
        <v>2430</v>
      </c>
      <c r="H561" s="3" t="n">
        <v>0.3144016645732702</v>
      </c>
      <c r="I561" s="3" t="n">
        <v>0.5290567067674442</v>
      </c>
      <c r="J561" t="n">
        <v>60.6</v>
      </c>
      <c r="K561">
        <f>IF(IFERROR(INDEX(Spots!$K$2:$K$96,MATCH(A561,Spots!$A$2:$A$96,0)),"")="","",IFERROR(INDEX(Spots!$K$2:$K$96,MATCH(A561,Spots!$A$2:$A$96,0)),""))</f>
        <v/>
      </c>
      <c r="L561" s="3">
        <f>IF(OR(K561="",F561=""),"",F561/1000*K561*100)</f>
        <v/>
      </c>
      <c r="M561">
        <f>IF(OR(L561="",L561=0),"",ROUND(100/L561,0))</f>
        <v/>
      </c>
      <c r="N561" t="inlineStr">
        <is>
          <t>low sample</t>
        </is>
      </c>
    </row>
    <row r="562">
      <c r="A562" t="n">
        <v>33</v>
      </c>
      <c r="B562" t="inlineStr">
        <is>
          <t>Gyfin Rhasia Temple</t>
        </is>
      </c>
      <c r="C562" t="inlineStr">
        <is>
          <t>Rumbling Earth Shard</t>
        </is>
      </c>
      <c r="D562" t="n">
        <v>3.617606</v>
      </c>
      <c r="E562" t="n">
        <v>8901.200000000001</v>
      </c>
      <c r="F562" s="3" t="n">
        <v>0.4064177863658832</v>
      </c>
      <c r="G562" t="n">
        <v>2461</v>
      </c>
      <c r="H562" s="3" t="n">
        <v>0.3099792158555742</v>
      </c>
      <c r="I562" s="3" t="n">
        <v>0.5233587580956182</v>
      </c>
      <c r="J562" t="n">
        <v>59.8</v>
      </c>
      <c r="K562">
        <f>IF(IFERROR(INDEX(Spots!$K$2:$K$96,MATCH(A562,Spots!$A$2:$A$96,0)),"")="","",IFERROR(INDEX(Spots!$K$2:$K$96,MATCH(A562,Spots!$A$2:$A$96,0)),""))</f>
        <v/>
      </c>
      <c r="L562" s="3">
        <f>IF(OR(K562="",F562=""),"",F562/1000*K562*100)</f>
        <v/>
      </c>
      <c r="M562">
        <f>IF(OR(L562="",L562=0),"",ROUND(100/L562,0))</f>
        <v/>
      </c>
      <c r="N562" t="inlineStr">
        <is>
          <t>low sample</t>
        </is>
      </c>
    </row>
    <row r="563">
      <c r="A563" t="n">
        <v>33</v>
      </c>
      <c r="B563" t="inlineStr">
        <is>
          <t>Gyfin Rhasia Temple</t>
        </is>
      </c>
      <c r="C563" t="inlineStr">
        <is>
          <t>Destruction Spirit Stone</t>
        </is>
      </c>
      <c r="D563" t="n">
        <v>1.017093</v>
      </c>
      <c r="E563" t="n">
        <v>8901.200000000001</v>
      </c>
      <c r="F563" s="3" t="n">
        <v>0.1142647058823529</v>
      </c>
      <c r="G563" t="n">
        <v>8752</v>
      </c>
      <c r="H563" s="3" t="n">
        <v>0.06630117934079556</v>
      </c>
      <c r="I563" s="3" t="n">
        <v>0.1834206544813593</v>
      </c>
      <c r="J563" t="n">
        <v>16.8</v>
      </c>
      <c r="K563">
        <f>IF(IFERROR(INDEX(Spots!$K$2:$K$96,MATCH(A563,Spots!$A$2:$A$96,0)),"")="","",IFERROR(INDEX(Spots!$K$2:$K$96,MATCH(A563,Spots!$A$2:$A$96,0)),""))</f>
        <v/>
      </c>
      <c r="L563" s="3">
        <f>IF(OR(K563="",F563=""),"",F563/1000*K563*100)</f>
        <v/>
      </c>
      <c r="M563">
        <f>IF(OR(L563="",L563=0),"",ROUND(100/L563,0))</f>
        <v/>
      </c>
      <c r="N563" t="inlineStr">
        <is>
          <t>low sample</t>
        </is>
      </c>
    </row>
    <row r="564">
      <c r="A564" t="n">
        <v>33</v>
      </c>
      <c r="B564" t="inlineStr">
        <is>
          <t>Gyfin Rhasia Temple</t>
        </is>
      </c>
      <c r="C564" t="inlineStr">
        <is>
          <t>Pure Forest Breath</t>
        </is>
      </c>
      <c r="D564" t="n">
        <v>0.82834905</v>
      </c>
      <c r="E564" t="n">
        <v>8901.200000000001</v>
      </c>
      <c r="F564" s="3" t="n">
        <v>0.09306037949939333</v>
      </c>
      <c r="G564" t="n">
        <v>10746</v>
      </c>
      <c r="H564" s="3" t="n">
        <v>0.05044162530287725</v>
      </c>
      <c r="I564" s="3" t="n">
        <v>0.1570230235284692</v>
      </c>
      <c r="J564" t="n">
        <v>13.7</v>
      </c>
      <c r="K564">
        <f>IF(IFERROR(INDEX(Spots!$K$2:$K$96,MATCH(A564,Spots!$A$2:$A$96,0)),"")="","",IFERROR(INDEX(Spots!$K$2:$K$96,MATCH(A564,Spots!$A$2:$A$96,0)),""))</f>
        <v/>
      </c>
      <c r="L564" s="3">
        <f>IF(OR(K564="",F564=""),"",F564/1000*K564*100)</f>
        <v/>
      </c>
      <c r="M564">
        <f>IF(OR(L564="",L564=0),"",ROUND(100/L564,0))</f>
        <v/>
      </c>
      <c r="N564" t="inlineStr">
        <is>
          <t>low sample</t>
        </is>
      </c>
    </row>
    <row r="565">
      <c r="A565" t="n">
        <v>33</v>
      </c>
      <c r="B565" t="inlineStr">
        <is>
          <t>Gyfin Rhasia Temple</t>
        </is>
      </c>
      <c r="C565" t="inlineStr">
        <is>
          <t>Forest Fury</t>
        </is>
      </c>
      <c r="D565" t="n">
        <v>0.76607335</v>
      </c>
      <c r="E565" t="n">
        <v>8901.200000000001</v>
      </c>
      <c r="F565" s="3" t="n">
        <v>0.08606405316137149</v>
      </c>
      <c r="G565" t="n">
        <v>11619</v>
      </c>
      <c r="H565" s="3" t="n">
        <v>0.0453410208660075</v>
      </c>
      <c r="I565" s="3" t="n">
        <v>0.148192040697211</v>
      </c>
      <c r="J565" t="n">
        <v>12.7</v>
      </c>
      <c r="K565">
        <f>IF(IFERROR(INDEX(Spots!$K$2:$K$96,MATCH(A565,Spots!$A$2:$A$96,0)),"")="","",IFERROR(INDEX(Spots!$K$2:$K$96,MATCH(A565,Spots!$A$2:$A$96,0)),""))</f>
        <v/>
      </c>
      <c r="L565" s="3">
        <f>IF(OR(K565="",F565=""),"",F565/1000*K565*100)</f>
        <v/>
      </c>
      <c r="M565">
        <f>IF(OR(L565="",L565=0),"",ROUND(100/L565,0))</f>
        <v/>
      </c>
      <c r="N565" t="inlineStr">
        <is>
          <t>low sample</t>
        </is>
      </c>
    </row>
    <row r="566">
      <c r="A566" t="n">
        <v>33</v>
      </c>
      <c r="B566" t="inlineStr">
        <is>
          <t>Gyfin Rhasia Temple</t>
        </is>
      </c>
      <c r="C566" t="inlineStr">
        <is>
          <t>Manshaum Voodoo Doll</t>
        </is>
      </c>
      <c r="D566" t="n">
        <v>0.64929116</v>
      </c>
      <c r="E566" t="n">
        <v>8901.200000000001</v>
      </c>
      <c r="F566" s="3" t="n">
        <v>0.07294422774457375</v>
      </c>
      <c r="G566" t="n">
        <v>13709</v>
      </c>
      <c r="H566" s="3" t="n">
        <v>0.03599783810868321</v>
      </c>
      <c r="I566" s="3" t="n">
        <v>0.1314311866156298</v>
      </c>
      <c r="J566" t="n">
        <v>10.7</v>
      </c>
      <c r="K566">
        <f>IF(IFERROR(INDEX(Spots!$K$2:$K$96,MATCH(A566,Spots!$A$2:$A$96,0)),"")="","",IFERROR(INDEX(Spots!$K$2:$K$96,MATCH(A566,Spots!$A$2:$A$96,0)),""))</f>
        <v/>
      </c>
      <c r="L566" s="3">
        <f>IF(OR(K566="",F566=""),"",F566/1000*K566*100)</f>
        <v/>
      </c>
      <c r="M566">
        <f>IF(OR(L566="",L566=0),"",ROUND(100/L566,0))</f>
        <v/>
      </c>
      <c r="N566" t="inlineStr">
        <is>
          <t>low sample</t>
        </is>
      </c>
    </row>
    <row r="567">
      <c r="A567" t="n">
        <v>33</v>
      </c>
      <c r="B567" t="inlineStr">
        <is>
          <t>Gyfin Rhasia Temple</t>
        </is>
      </c>
      <c r="C567" t="inlineStr">
        <is>
          <t>Krogdalo's Origin Stone</t>
        </is>
      </c>
      <c r="D567" t="n">
        <v>0.53804032</v>
      </c>
      <c r="E567" t="n">
        <v>8901.200000000001</v>
      </c>
      <c r="F567" s="3" t="n">
        <v>0.06044581854132027</v>
      </c>
      <c r="G567" t="n">
        <v>16544</v>
      </c>
      <c r="H567" s="3" t="n">
        <v>0.02742999508289838</v>
      </c>
      <c r="I567" s="3" t="n">
        <v>0.1151671337416402</v>
      </c>
      <c r="J567" t="n">
        <v>8.9</v>
      </c>
      <c r="K567">
        <f>IF(IFERROR(INDEX(Spots!$K$2:$K$96,MATCH(A567,Spots!$A$2:$A$96,0)),"")="","",IFERROR(INDEX(Spots!$K$2:$K$96,MATCH(A567,Spots!$A$2:$A$96,0)),""))</f>
        <v/>
      </c>
      <c r="L567" s="3">
        <f>IF(OR(K567="",F567=""),"",F567/1000*K567*100)</f>
        <v/>
      </c>
      <c r="M567">
        <f>IF(OR(L567="",L567=0),"",ROUND(100/L567,0))</f>
        <v/>
      </c>
      <c r="N567" t="inlineStr">
        <is>
          <t>low sample</t>
        </is>
      </c>
    </row>
    <row r="568">
      <c r="A568" t="n">
        <v>33</v>
      </c>
      <c r="B568" t="inlineStr">
        <is>
          <t>Gyfin Rhasia Temple</t>
        </is>
      </c>
      <c r="C568" t="inlineStr">
        <is>
          <t>Tungrad Belt</t>
        </is>
      </c>
      <c r="D568" t="n">
        <v>0.34153536</v>
      </c>
      <c r="E568" t="n">
        <v>8901.200000000001</v>
      </c>
      <c r="F568" s="3" t="n">
        <v>0.03836958612321934</v>
      </c>
      <c r="G568" t="n">
        <v>26062</v>
      </c>
      <c r="H568" s="3" t="n">
        <v>0.01346676330545045</v>
      </c>
      <c r="I568" s="3" t="n">
        <v>0.08542576579799376</v>
      </c>
      <c r="J568" t="n">
        <v>5.6</v>
      </c>
      <c r="K568">
        <f>IF(IFERROR(INDEX(Spots!$K$2:$K$96,MATCH(A568,Spots!$A$2:$A$96,0)),"")="","",IFERROR(INDEX(Spots!$K$2:$K$96,MATCH(A568,Spots!$A$2:$A$96,0)),""))</f>
        <v/>
      </c>
      <c r="L568" s="3">
        <f>IF(OR(K568="",F568=""),"",F568/1000*K568*100)</f>
        <v/>
      </c>
      <c r="M568">
        <f>IF(OR(L568="",L568=0),"",ROUND(100/L568,0))</f>
        <v/>
      </c>
      <c r="N568" t="inlineStr">
        <is>
          <t>low sample</t>
        </is>
      </c>
    </row>
    <row r="569">
      <c r="A569" t="n">
        <v>33</v>
      </c>
      <c r="B569" t="inlineStr">
        <is>
          <t>Gyfin Rhasia Temple</t>
        </is>
      </c>
      <c r="C569" t="inlineStr">
        <is>
          <t>Imperfect Lightstone of Earth</t>
        </is>
      </c>
      <c r="D569" t="n">
        <v>0.23341421</v>
      </c>
      <c r="E569" t="n">
        <v>8901.200000000001</v>
      </c>
      <c r="F569" s="3" t="n">
        <v>0.02622278007459668</v>
      </c>
      <c r="G569" t="n">
        <v>38135</v>
      </c>
      <c r="H569" s="3" t="n">
        <v>0.006830161206458807</v>
      </c>
      <c r="I569" s="3" t="n">
        <v>0.06819679098522216</v>
      </c>
      <c r="J569" t="n">
        <v>3.9</v>
      </c>
      <c r="K569">
        <f>IF(IFERROR(INDEX(Spots!$K$2:$K$96,MATCH(A569,Spots!$A$2:$A$96,0)),"")="","",IFERROR(INDEX(Spots!$K$2:$K$96,MATCH(A569,Spots!$A$2:$A$96,0)),""))</f>
        <v/>
      </c>
      <c r="L569" s="3">
        <f>IF(OR(K569="",F569=""),"",F569/1000*K569*100)</f>
        <v/>
      </c>
      <c r="M569">
        <f>IF(OR(L569="",L569=0),"",ROUND(100/L569,0))</f>
        <v/>
      </c>
      <c r="N569" t="inlineStr">
        <is>
          <t>low sample</t>
        </is>
      </c>
    </row>
    <row r="570">
      <c r="A570" t="n">
        <v>33</v>
      </c>
      <c r="B570" t="inlineStr">
        <is>
          <t>Gyfin Rhasia Temple</t>
        </is>
      </c>
      <c r="C570" t="inlineStr">
        <is>
          <t>Lemoria Shoes</t>
        </is>
      </c>
      <c r="D570" t="n">
        <v>0.22080218</v>
      </c>
      <c r="E570" t="n">
        <v>8901.200000000001</v>
      </c>
      <c r="F570" s="3" t="n">
        <v>0.02480588909360535</v>
      </c>
      <c r="G570" t="n">
        <v>40313</v>
      </c>
      <c r="H570" s="3" t="n">
        <v>0.006132641762622584</v>
      </c>
      <c r="I570" s="3" t="n">
        <v>0.06612677490072587</v>
      </c>
      <c r="J570" t="n">
        <v>3.7</v>
      </c>
      <c r="K570">
        <f>IF(IFERROR(INDEX(Spots!$K$2:$K$96,MATCH(A570,Spots!$A$2:$A$96,0)),"")="","",IFERROR(INDEX(Spots!$K$2:$K$96,MATCH(A570,Spots!$A$2:$A$96,0)),""))</f>
        <v/>
      </c>
      <c r="L570" s="3">
        <f>IF(OR(K570="",F570=""),"",F570/1000*K570*100)</f>
        <v/>
      </c>
      <c r="M570">
        <f>IF(OR(L570="",L570=0),"",ROUND(100/L570,0))</f>
        <v/>
      </c>
      <c r="N570" t="inlineStr">
        <is>
          <t>low sample</t>
        </is>
      </c>
    </row>
    <row r="571">
      <c r="A571" t="n">
        <v>33</v>
      </c>
      <c r="B571" t="inlineStr">
        <is>
          <t>Gyfin Rhasia Temple</t>
        </is>
      </c>
      <c r="C571" t="inlineStr">
        <is>
          <t>Any Artifact</t>
        </is>
      </c>
      <c r="D571" t="n">
        <v>0.09898614999999999</v>
      </c>
      <c r="E571" t="n">
        <v>8901.200000000001</v>
      </c>
      <c r="F571" s="3" t="n">
        <v>0.01112053992720083</v>
      </c>
      <c r="G571" t="n">
        <v>89924</v>
      </c>
      <c r="H571" s="3" t="n">
        <v>0.0008321980323622748</v>
      </c>
      <c r="I571" s="3" t="n">
        <v>0.04508748665952275</v>
      </c>
      <c r="J571" t="n">
        <v>1.6</v>
      </c>
      <c r="K571">
        <f>IF(IFERROR(INDEX(Spots!$K$2:$K$96,MATCH(A571,Spots!$A$2:$A$96,0)),"")="","",IFERROR(INDEX(Spots!$K$2:$K$96,MATCH(A571,Spots!$A$2:$A$96,0)),""))</f>
        <v/>
      </c>
      <c r="L571" s="3">
        <f>IF(OR(K571="",F571=""),"",F571/1000*K571*100)</f>
        <v/>
      </c>
      <c r="M571">
        <f>IF(OR(L571="",L571=0),"",ROUND(100/L571,0))</f>
        <v/>
      </c>
      <c r="N571" t="inlineStr">
        <is>
          <t>low sample</t>
        </is>
      </c>
    </row>
    <row r="572">
      <c r="A572" t="n">
        <v>33</v>
      </c>
      <c r="B572" t="inlineStr">
        <is>
          <t>Gyfin Rhasia Temple</t>
        </is>
      </c>
      <c r="C572" t="inlineStr">
        <is>
          <t>Imperfect Lightstone of Fire</t>
        </is>
      </c>
      <c r="D572" t="n">
        <v>0.06801690000000001</v>
      </c>
      <c r="E572" t="n">
        <v>8901.200000000001</v>
      </c>
      <c r="F572" s="3" t="n">
        <v>0.007641318024536017</v>
      </c>
      <c r="G572" t="n">
        <v>130867</v>
      </c>
      <c r="H572" s="3" t="n">
        <v>0.0001770794884353881</v>
      </c>
      <c r="I572" s="3" t="n">
        <v>0.03926901869692207</v>
      </c>
      <c r="J572" t="n">
        <v>1.1</v>
      </c>
      <c r="K572">
        <f>IF(IFERROR(INDEX(Spots!$K$2:$K$96,MATCH(A572,Spots!$A$2:$A$96,0)),"")="","",IFERROR(INDEX(Spots!$K$2:$K$96,MATCH(A572,Spots!$A$2:$A$96,0)),""))</f>
        <v/>
      </c>
      <c r="L572" s="3">
        <f>IF(OR(K572="",F572=""),"",F572/1000*K572*100)</f>
        <v/>
      </c>
      <c r="M572">
        <f>IF(OR(L572="",L572=0),"",ROUND(100/L572,0))</f>
        <v/>
      </c>
      <c r="N572" t="inlineStr">
        <is>
          <t>low sample</t>
        </is>
      </c>
    </row>
    <row r="573">
      <c r="A573" t="n">
        <v>33</v>
      </c>
      <c r="B573" t="inlineStr">
        <is>
          <t>Gyfin Rhasia Temple</t>
        </is>
      </c>
      <c r="C573" t="inlineStr">
        <is>
          <t>Imperfect Lightstone of Wind</t>
        </is>
      </c>
      <c r="D573" t="n">
        <v>0.05401833</v>
      </c>
      <c r="E573" t="n">
        <v>8901.200000000001</v>
      </c>
      <c r="F573" s="3" t="n">
        <v>0.006068657035006516</v>
      </c>
      <c r="G573" t="n">
        <v>164781</v>
      </c>
      <c r="H573" s="3" t="n">
        <v>3.796645068463258e-05</v>
      </c>
      <c r="I573" s="3" t="n">
        <v>0.03653348161621817</v>
      </c>
      <c r="J573" t="n">
        <v>0.9</v>
      </c>
      <c r="K573">
        <f>IF(IFERROR(INDEX(Spots!$K$2:$K$96,MATCH(A573,Spots!$A$2:$A$96,0)),"")="","",IFERROR(INDEX(Spots!$K$2:$K$96,MATCH(A573,Spots!$A$2:$A$96,0)),""))</f>
        <v/>
      </c>
      <c r="L573" s="3">
        <f>IF(OR(K573="",F573=""),"",F573/1000*K573*100)</f>
        <v/>
      </c>
      <c r="M573">
        <f>IF(OR(L573="",L573=0),"",ROUND(100/L573,0))</f>
        <v/>
      </c>
      <c r="N573" t="inlineStr">
        <is>
          <t>low sample</t>
        </is>
      </c>
    </row>
    <row r="574">
      <c r="A574" t="n">
        <v>33</v>
      </c>
      <c r="B574" t="inlineStr">
        <is>
          <t>Gyfin Rhasia Temple</t>
        </is>
      </c>
      <c r="C574" t="inlineStr">
        <is>
          <t>Lemoria Gloves</t>
        </is>
      </c>
      <c r="D574" t="n">
        <v>0.01273343</v>
      </c>
      <c r="E574" t="n">
        <v>8901.200000000001</v>
      </c>
      <c r="F574" s="3" t="n">
        <v>0.001430529591515751</v>
      </c>
      <c r="G574" t="n">
        <v>699042</v>
      </c>
      <c r="H574" s="3" t="n">
        <v>0</v>
      </c>
      <c r="I574" s="3" t="n">
        <v>0.02787371091027677</v>
      </c>
      <c r="J574" t="n">
        <v>0.2</v>
      </c>
      <c r="K574">
        <f>IF(IFERROR(INDEX(Spots!$K$2:$K$96,MATCH(A574,Spots!$A$2:$A$96,0)),"")="","",IFERROR(INDEX(Spots!$K$2:$K$96,MATCH(A574,Spots!$A$2:$A$96,0)),""))</f>
        <v/>
      </c>
      <c r="L574" s="3">
        <f>IF(OR(K574="",F574=""),"",F574/1000*K574*100)</f>
        <v/>
      </c>
      <c r="M574">
        <f>IF(OR(L574="",L574=0),"",ROUND(100/L574,0))</f>
        <v/>
      </c>
      <c r="N574" t="inlineStr">
        <is>
          <t>low sample</t>
        </is>
      </c>
    </row>
    <row r="575">
      <c r="A575" t="n">
        <v>33</v>
      </c>
      <c r="B575" t="inlineStr">
        <is>
          <t>Gyfin Rhasia Temple</t>
        </is>
      </c>
      <c r="C575" t="inlineStr">
        <is>
          <t>Lemoria Helmet</t>
        </is>
      </c>
      <c r="D575" t="n">
        <v>0</v>
      </c>
      <c r="E575" t="n">
        <v>8901.200000000001</v>
      </c>
      <c r="F575" s="3" t="n">
        <v>0</v>
      </c>
      <c r="H575" s="3" t="n">
        <v>0</v>
      </c>
      <c r="I575" s="3" t="n">
        <v>0.02506684491978609</v>
      </c>
      <c r="J575" t="n">
        <v>0</v>
      </c>
      <c r="K575">
        <f>IF(IFERROR(INDEX(Spots!$K$2:$K$96,MATCH(A575,Spots!$A$2:$A$96,0)),"")="","",IFERROR(INDEX(Spots!$K$2:$K$96,MATCH(A575,Spots!$A$2:$A$96,0)),""))</f>
        <v/>
      </c>
      <c r="L575" s="3">
        <f>IF(OR(K575="",F575=""),"",F575/1000*K575*100)</f>
        <v/>
      </c>
      <c r="M575">
        <f>IF(OR(L575="",L575=0),"",ROUND(100/L575,0))</f>
        <v/>
      </c>
      <c r="N575" t="inlineStr">
        <is>
          <t>no drops recorded</t>
        </is>
      </c>
    </row>
    <row r="576">
      <c r="A576" t="n">
        <v>33</v>
      </c>
      <c r="B576" t="inlineStr">
        <is>
          <t>Gyfin Rhasia Temple</t>
        </is>
      </c>
      <c r="C576" t="inlineStr">
        <is>
          <t>Lemoria Armor</t>
        </is>
      </c>
      <c r="D576" t="n">
        <v>0</v>
      </c>
      <c r="E576" t="n">
        <v>8901.200000000001</v>
      </c>
      <c r="F576" s="3" t="n">
        <v>0</v>
      </c>
      <c r="H576" s="3" t="n">
        <v>0</v>
      </c>
      <c r="I576" s="3" t="n">
        <v>0.02506684491978609</v>
      </c>
      <c r="J576" t="n">
        <v>0</v>
      </c>
      <c r="K576">
        <f>IF(IFERROR(INDEX(Spots!$K$2:$K$96,MATCH(A576,Spots!$A$2:$A$96,0)),"")="","",IFERROR(INDEX(Spots!$K$2:$K$96,MATCH(A576,Spots!$A$2:$A$96,0)),""))</f>
        <v/>
      </c>
      <c r="L576" s="3">
        <f>IF(OR(K576="",F576=""),"",F576/1000*K576*100)</f>
        <v/>
      </c>
      <c r="M576">
        <f>IF(OR(L576="",L576=0),"",ROUND(100/L576,0))</f>
        <v/>
      </c>
      <c r="N576" t="inlineStr">
        <is>
          <t>no drops recorded</t>
        </is>
      </c>
    </row>
    <row r="577">
      <c r="A577" t="n">
        <v>97</v>
      </c>
      <c r="B577" t="inlineStr">
        <is>
          <t>Gyfin Rhasia Underground</t>
        </is>
      </c>
      <c r="C577" t="inlineStr">
        <is>
          <t>Black Stone</t>
        </is>
      </c>
      <c r="D577" t="n">
        <v>56.913</v>
      </c>
      <c r="E577" t="n">
        <v>9964.700000000001</v>
      </c>
      <c r="F577" s="3" t="n">
        <v>5.711461458950093</v>
      </c>
      <c r="G577" t="n">
        <v>175</v>
      </c>
      <c r="H577" s="3" t="n">
        <v>5.68916903750153</v>
      </c>
      <c r="I577" s="3" t="n">
        <v>5.733819607414082</v>
      </c>
      <c r="J577" t="n">
        <v>251683.5</v>
      </c>
      <c r="K577">
        <f>IF(IFERROR(INDEX(Spots!$K$2:$K$96,MATCH(A577,Spots!$A$2:$A$96,0)),"")="","",IFERROR(INDEX(Spots!$K$2:$K$96,MATCH(A577,Spots!$A$2:$A$96,0)),""))</f>
        <v/>
      </c>
      <c r="L577" s="3">
        <f>IF(OR(K577="",F577=""),"",F577/1000*K577*100)</f>
        <v/>
      </c>
      <c r="M577">
        <f>IF(OR(L577="",L577=0),"",ROUND(100/L577,0))</f>
        <v/>
      </c>
      <c r="N577" t="inlineStr"/>
    </row>
    <row r="578">
      <c r="A578" t="n">
        <v>97</v>
      </c>
      <c r="B578" t="inlineStr">
        <is>
          <t>Gyfin Rhasia Underground</t>
        </is>
      </c>
      <c r="C578" t="inlineStr">
        <is>
          <t>Ancient Spirit Dust</t>
        </is>
      </c>
      <c r="D578" t="n">
        <v>31.81</v>
      </c>
      <c r="E578" t="n">
        <v>9964.700000000001</v>
      </c>
      <c r="F578" s="3" t="n">
        <v>3.19226870854115</v>
      </c>
      <c r="G578" t="n">
        <v>313</v>
      </c>
      <c r="H578" s="3" t="n">
        <v>3.175608062440044</v>
      </c>
      <c r="I578" s="3" t="n">
        <v>3.208995096607925</v>
      </c>
      <c r="J578" t="n">
        <v>140671.8</v>
      </c>
      <c r="K578">
        <f>IF(IFERROR(INDEX(Spots!$K$2:$K$96,MATCH(A578,Spots!$A$2:$A$96,0)),"")="","",IFERROR(INDEX(Spots!$K$2:$K$96,MATCH(A578,Spots!$A$2:$A$96,0)),""))</f>
        <v/>
      </c>
      <c r="L578" s="3">
        <f>IF(OR(K578="",F578=""),"",F578/1000*K578*100)</f>
        <v/>
      </c>
      <c r="M578">
        <f>IF(OR(L578="",L578=0),"",ROUND(100/L578,0))</f>
        <v/>
      </c>
      <c r="N578" t="inlineStr"/>
    </row>
    <row r="579">
      <c r="A579" t="n">
        <v>97</v>
      </c>
      <c r="B579" t="inlineStr">
        <is>
          <t>Gyfin Rhasia Underground</t>
        </is>
      </c>
      <c r="C579" t="inlineStr">
        <is>
          <t>Caphras Stone</t>
        </is>
      </c>
      <c r="D579" t="n">
        <v>23.615</v>
      </c>
      <c r="E579" t="n">
        <v>9964.700000000001</v>
      </c>
      <c r="F579" s="3" t="n">
        <v>2.369865625658575</v>
      </c>
      <c r="G579" t="n">
        <v>422</v>
      </c>
      <c r="H579" s="3" t="n">
        <v>2.355513577216352</v>
      </c>
      <c r="I579" s="3" t="n">
        <v>2.384283425578194</v>
      </c>
      <c r="J579" t="n">
        <v>104431.4</v>
      </c>
      <c r="K579">
        <f>IF(IFERROR(INDEX(Spots!$K$2:$K$96,MATCH(A579,Spots!$A$2:$A$96,0)),"")="","",IFERROR(INDEX(Spots!$K$2:$K$96,MATCH(A579,Spots!$A$2:$A$96,0)),""))</f>
        <v/>
      </c>
      <c r="L579" s="3">
        <f>IF(OR(K579="",F579=""),"",F579/1000*K579*100)</f>
        <v/>
      </c>
      <c r="M579">
        <f>IF(OR(L579="",L579=0),"",ROUND(100/L579,0))</f>
        <v/>
      </c>
      <c r="N579" t="inlineStr"/>
    </row>
    <row r="580">
      <c r="A580" t="n">
        <v>97</v>
      </c>
      <c r="B580" t="inlineStr">
        <is>
          <t>Gyfin Rhasia Underground</t>
        </is>
      </c>
      <c r="C580" t="inlineStr">
        <is>
          <t>Trace of Nature</t>
        </is>
      </c>
      <c r="D580" t="n">
        <v>7.443992</v>
      </c>
      <c r="E580" t="n">
        <v>9964.700000000001</v>
      </c>
      <c r="F580" s="3" t="n">
        <v>0.747036237919857</v>
      </c>
      <c r="G580" t="n">
        <v>1339</v>
      </c>
      <c r="H580" s="3" t="n">
        <v>0.7389877594927263</v>
      </c>
      <c r="I580" s="3" t="n">
        <v>0.7551505214791212</v>
      </c>
      <c r="J580" t="n">
        <v>32919.2</v>
      </c>
      <c r="K580">
        <f>IF(IFERROR(INDEX(Spots!$K$2:$K$96,MATCH(A580,Spots!$A$2:$A$96,0)),"")="","",IFERROR(INDEX(Spots!$K$2:$K$96,MATCH(A580,Spots!$A$2:$A$96,0)),""))</f>
        <v/>
      </c>
      <c r="L580" s="3">
        <f>IF(OR(K580="",F580=""),"",F580/1000*K580*100)</f>
        <v/>
      </c>
      <c r="M580">
        <f>IF(OR(L580="",L580=0),"",ROUND(100/L580,0))</f>
        <v/>
      </c>
      <c r="N580" t="inlineStr"/>
    </row>
    <row r="581">
      <c r="A581" t="n">
        <v>97</v>
      </c>
      <c r="B581" t="inlineStr">
        <is>
          <t>Gyfin Rhasia Underground</t>
        </is>
      </c>
      <c r="C581" t="inlineStr">
        <is>
          <t>Swaying Wind Shard</t>
        </is>
      </c>
      <c r="D581" t="n">
        <v>5.151904</v>
      </c>
      <c r="E581" t="n">
        <v>9964.700000000001</v>
      </c>
      <c r="F581" s="3" t="n">
        <v>0.5170154645900027</v>
      </c>
      <c r="G581" t="n">
        <v>1934</v>
      </c>
      <c r="H581" s="3" t="n">
        <v>0.5103234042654955</v>
      </c>
      <c r="I581" s="3" t="n">
        <v>0.5237733547462738</v>
      </c>
      <c r="J581" t="n">
        <v>22783</v>
      </c>
      <c r="K581">
        <f>IF(IFERROR(INDEX(Spots!$K$2:$K$96,MATCH(A581,Spots!$A$2:$A$96,0)),"")="","",IFERROR(INDEX(Spots!$K$2:$K$96,MATCH(A581,Spots!$A$2:$A$96,0)),""))</f>
        <v/>
      </c>
      <c r="L581" s="3">
        <f>IF(OR(K581="",F581=""),"",F581/1000*K581*100)</f>
        <v/>
      </c>
      <c r="M581">
        <f>IF(OR(L581="",L581=0),"",ROUND(100/L581,0))</f>
        <v/>
      </c>
      <c r="N581" t="inlineStr"/>
    </row>
    <row r="582">
      <c r="A582" t="n">
        <v>97</v>
      </c>
      <c r="B582" t="inlineStr">
        <is>
          <t>Gyfin Rhasia Underground</t>
        </is>
      </c>
      <c r="C582" t="inlineStr">
        <is>
          <t>Rumbling Earth Shard</t>
        </is>
      </c>
      <c r="D582" t="n">
        <v>5.089762</v>
      </c>
      <c r="E582" t="n">
        <v>9964.700000000001</v>
      </c>
      <c r="F582" s="3" t="n">
        <v>0.5107792507551657</v>
      </c>
      <c r="G582" t="n">
        <v>1958</v>
      </c>
      <c r="H582" s="3" t="n">
        <v>0.5041278028292887</v>
      </c>
      <c r="I582" s="3" t="n">
        <v>0.517496529406935</v>
      </c>
      <c r="J582" t="n">
        <v>22508.2</v>
      </c>
      <c r="K582">
        <f>IF(IFERROR(INDEX(Spots!$K$2:$K$96,MATCH(A582,Spots!$A$2:$A$96,0)),"")="","",IFERROR(INDEX(Spots!$K$2:$K$96,MATCH(A582,Spots!$A$2:$A$96,0)),""))</f>
        <v/>
      </c>
      <c r="L582" s="3">
        <f>IF(OR(K582="",F582=""),"",F582/1000*K582*100)</f>
        <v/>
      </c>
      <c r="M582">
        <f>IF(OR(L582="",L582=0),"",ROUND(100/L582,0))</f>
        <v/>
      </c>
      <c r="N582" t="inlineStr"/>
    </row>
    <row r="583">
      <c r="A583" t="n">
        <v>97</v>
      </c>
      <c r="B583" t="inlineStr">
        <is>
          <t>Gyfin Rhasia Underground</t>
        </is>
      </c>
      <c r="C583" t="inlineStr">
        <is>
          <t>Manshaum Voodoo Doll</t>
        </is>
      </c>
      <c r="D583" t="n">
        <v>1.318691</v>
      </c>
      <c r="E583" t="n">
        <v>9964.700000000001</v>
      </c>
      <c r="F583" s="3" t="n">
        <v>0.1323362469517397</v>
      </c>
      <c r="G583" t="n">
        <v>7557</v>
      </c>
      <c r="H583" s="3" t="n">
        <v>0.1289612089498038</v>
      </c>
      <c r="I583" s="3" t="n">
        <v>0.1357772580540732</v>
      </c>
      <c r="J583" t="n">
        <v>5831.6</v>
      </c>
      <c r="K583">
        <f>IF(IFERROR(INDEX(Spots!$K$2:$K$96,MATCH(A583,Spots!$A$2:$A$96,0)),"")="","",IFERROR(INDEX(Spots!$K$2:$K$96,MATCH(A583,Spots!$A$2:$A$96,0)),""))</f>
        <v/>
      </c>
      <c r="L583" s="3">
        <f>IF(OR(K583="",F583=""),"",F583/1000*K583*100)</f>
        <v/>
      </c>
      <c r="M583">
        <f>IF(OR(L583="",L583=0),"",ROUND(100/L583,0))</f>
        <v/>
      </c>
      <c r="N583" t="inlineStr"/>
    </row>
    <row r="584">
      <c r="A584" t="n">
        <v>97</v>
      </c>
      <c r="B584" t="inlineStr">
        <is>
          <t>Gyfin Rhasia Underground</t>
        </is>
      </c>
      <c r="C584" t="inlineStr">
        <is>
          <t>Destruction Spirit Stone</t>
        </is>
      </c>
      <c r="D584" t="n">
        <v>1.266998</v>
      </c>
      <c r="E584" t="n">
        <v>9964.700000000001</v>
      </c>
      <c r="F584" s="3" t="n">
        <v>0.1271486346804219</v>
      </c>
      <c r="G584" t="n">
        <v>7865</v>
      </c>
      <c r="H584" s="3" t="n">
        <v>0.1238408364855962</v>
      </c>
      <c r="I584" s="3" t="n">
        <v>0.1305224118232021</v>
      </c>
      <c r="J584" t="n">
        <v>5603</v>
      </c>
      <c r="K584">
        <f>IF(IFERROR(INDEX(Spots!$K$2:$K$96,MATCH(A584,Spots!$A$2:$A$96,0)),"")="","",IFERROR(INDEX(Spots!$K$2:$K$96,MATCH(A584,Spots!$A$2:$A$96,0)),""))</f>
        <v/>
      </c>
      <c r="L584" s="3">
        <f>IF(OR(K584="",F584=""),"",F584/1000*K584*100)</f>
        <v/>
      </c>
      <c r="M584">
        <f>IF(OR(L584="",L584=0),"",ROUND(100/L584,0))</f>
        <v/>
      </c>
      <c r="N584" t="inlineStr"/>
    </row>
    <row r="585">
      <c r="A585" t="n">
        <v>97</v>
      </c>
      <c r="B585" t="inlineStr">
        <is>
          <t>Gyfin Rhasia Underground</t>
        </is>
      </c>
      <c r="C585" t="inlineStr">
        <is>
          <t>Pure Forest Breath</t>
        </is>
      </c>
      <c r="D585" t="n">
        <v>0.97921651</v>
      </c>
      <c r="E585" t="n">
        <v>9964.700000000001</v>
      </c>
      <c r="F585" s="3" t="n">
        <v>0.0982685389424669</v>
      </c>
      <c r="G585" t="n">
        <v>10176</v>
      </c>
      <c r="H585" s="3" t="n">
        <v>0.095363175958707</v>
      </c>
      <c r="I585" s="3" t="n">
        <v>0.1012399214690915</v>
      </c>
      <c r="J585" t="n">
        <v>4330.3</v>
      </c>
      <c r="K585">
        <f>IF(IFERROR(INDEX(Spots!$K$2:$K$96,MATCH(A585,Spots!$A$2:$A$96,0)),"")="","",IFERROR(INDEX(Spots!$K$2:$K$96,MATCH(A585,Spots!$A$2:$A$96,0)),""))</f>
        <v/>
      </c>
      <c r="L585" s="3">
        <f>IF(OR(K585="",F585=""),"",F585/1000*K585*100)</f>
        <v/>
      </c>
      <c r="M585">
        <f>IF(OR(L585="",L585=0),"",ROUND(100/L585,0))</f>
        <v/>
      </c>
      <c r="N585" t="inlineStr"/>
    </row>
    <row r="586">
      <c r="A586" t="n">
        <v>97</v>
      </c>
      <c r="B586" t="inlineStr">
        <is>
          <t>Gyfin Rhasia Underground</t>
        </is>
      </c>
      <c r="C586" t="inlineStr">
        <is>
          <t>Krogdalo's Origin Stone</t>
        </is>
      </c>
      <c r="D586" t="n">
        <v>0.89016354</v>
      </c>
      <c r="E586" t="n">
        <v>9964.700000000001</v>
      </c>
      <c r="F586" s="3" t="n">
        <v>0.08933169488293675</v>
      </c>
      <c r="G586" t="n">
        <v>11194</v>
      </c>
      <c r="H586" s="3" t="n">
        <v>0.08656259753251168</v>
      </c>
      <c r="I586" s="3" t="n">
        <v>0.09216682816563163</v>
      </c>
      <c r="J586" t="n">
        <v>3936.5</v>
      </c>
      <c r="K586">
        <f>IF(IFERROR(INDEX(Spots!$K$2:$K$96,MATCH(A586,Spots!$A$2:$A$96,0)),"")="","",IFERROR(INDEX(Spots!$K$2:$K$96,MATCH(A586,Spots!$A$2:$A$96,0)),""))</f>
        <v/>
      </c>
      <c r="L586" s="3">
        <f>IF(OR(K586="",F586=""),"",F586/1000*K586*100)</f>
        <v/>
      </c>
      <c r="M586">
        <f>IF(OR(L586="",L586=0),"",ROUND(100/L586,0))</f>
        <v/>
      </c>
      <c r="N586" t="inlineStr"/>
    </row>
    <row r="587">
      <c r="A587" t="n">
        <v>97</v>
      </c>
      <c r="B587" t="inlineStr">
        <is>
          <t>Gyfin Rhasia Underground</t>
        </is>
      </c>
      <c r="C587" t="inlineStr">
        <is>
          <t>Forest Fury</t>
        </is>
      </c>
      <c r="D587" t="n">
        <v>0.88393298</v>
      </c>
      <c r="E587" t="n">
        <v>9964.700000000001</v>
      </c>
      <c r="F587" s="3" t="n">
        <v>0.0887064317039148</v>
      </c>
      <c r="G587" t="n">
        <v>11273</v>
      </c>
      <c r="H587" s="3" t="n">
        <v>0.08594711805038702</v>
      </c>
      <c r="I587" s="3" t="n">
        <v>0.0915317825280281</v>
      </c>
      <c r="J587" t="n">
        <v>3909</v>
      </c>
      <c r="K587">
        <f>IF(IFERROR(INDEX(Spots!$K$2:$K$96,MATCH(A587,Spots!$A$2:$A$96,0)),"")="","",IFERROR(INDEX(Spots!$K$2:$K$96,MATCH(A587,Spots!$A$2:$A$96,0)),""))</f>
        <v/>
      </c>
      <c r="L587" s="3">
        <f>IF(OR(K587="",F587=""),"",F587/1000*K587*100)</f>
        <v/>
      </c>
      <c r="M587">
        <f>IF(OR(L587="",L587=0),"",ROUND(100/L587,0))</f>
        <v/>
      </c>
      <c r="N587" t="inlineStr"/>
    </row>
    <row r="588">
      <c r="A588" t="n">
        <v>97</v>
      </c>
      <c r="B588" t="inlineStr">
        <is>
          <t>Gyfin Rhasia Underground</t>
        </is>
      </c>
      <c r="C588" t="inlineStr">
        <is>
          <t>Imperfect Lightstone of Earth</t>
        </is>
      </c>
      <c r="D588" t="n">
        <v>0.49900077</v>
      </c>
      <c r="E588" t="n">
        <v>9964.700000000001</v>
      </c>
      <c r="F588" s="3" t="n">
        <v>0.05007684827440866</v>
      </c>
      <c r="G588" t="n">
        <v>19969</v>
      </c>
      <c r="H588" s="3" t="n">
        <v>0.0480090214906292</v>
      </c>
      <c r="I588" s="3" t="n">
        <v>0.05221082898236966</v>
      </c>
      <c r="J588" t="n">
        <v>2206.7</v>
      </c>
      <c r="K588">
        <f>IF(IFERROR(INDEX(Spots!$K$2:$K$96,MATCH(A588,Spots!$A$2:$A$96,0)),"")="","",IFERROR(INDEX(Spots!$K$2:$K$96,MATCH(A588,Spots!$A$2:$A$96,0)),""))</f>
        <v/>
      </c>
      <c r="L588" s="3">
        <f>IF(OR(K588="",F588=""),"",F588/1000*K588*100)</f>
        <v/>
      </c>
      <c r="M588">
        <f>IF(OR(L588="",L588=0),"",ROUND(100/L588,0))</f>
        <v/>
      </c>
      <c r="N588" t="inlineStr"/>
    </row>
    <row r="589">
      <c r="A589" t="n">
        <v>97</v>
      </c>
      <c r="B589" t="inlineStr">
        <is>
          <t>Gyfin Rhasia Underground</t>
        </is>
      </c>
      <c r="C589" t="inlineStr">
        <is>
          <t>Tungrad Necklace</t>
        </is>
      </c>
      <c r="D589" t="n">
        <v>0.27229356</v>
      </c>
      <c r="E589" t="n">
        <v>9964.700000000001</v>
      </c>
      <c r="F589" s="3" t="n">
        <v>0.02732581613094222</v>
      </c>
      <c r="G589" t="n">
        <v>36595</v>
      </c>
      <c r="H589" s="3" t="n">
        <v>0.02580397452382098</v>
      </c>
      <c r="I589" s="3" t="n">
        <v>0.02891397726969423</v>
      </c>
      <c r="J589" t="n">
        <v>1204.2</v>
      </c>
      <c r="K589">
        <f>IF(IFERROR(INDEX(Spots!$K$2:$K$96,MATCH(A589,Spots!$A$2:$A$96,0)),"")="","",IFERROR(INDEX(Spots!$K$2:$K$96,MATCH(A589,Spots!$A$2:$A$96,0)),""))</f>
        <v/>
      </c>
      <c r="L589" s="3">
        <f>IF(OR(K589="",F589=""),"",F589/1000*K589*100)</f>
        <v/>
      </c>
      <c r="M589">
        <f>IF(OR(L589="",L589=0),"",ROUND(100/L589,0))</f>
        <v/>
      </c>
      <c r="N589" t="inlineStr"/>
    </row>
    <row r="590">
      <c r="A590" t="n">
        <v>97</v>
      </c>
      <c r="B590" t="inlineStr">
        <is>
          <t>Gyfin Rhasia Underground</t>
        </is>
      </c>
      <c r="C590" t="inlineStr">
        <is>
          <t>Tungrad Belt</t>
        </is>
      </c>
      <c r="D590" t="n">
        <v>0.2699213</v>
      </c>
      <c r="E590" t="n">
        <v>9964.700000000001</v>
      </c>
      <c r="F590" s="3" t="n">
        <v>0.02708774975664094</v>
      </c>
      <c r="G590" t="n">
        <v>36917</v>
      </c>
      <c r="H590" s="3" t="n">
        <v>0.02557264660928957</v>
      </c>
      <c r="I590" s="3" t="n">
        <v>0.02866917520969589</v>
      </c>
      <c r="J590" t="n">
        <v>1193.7</v>
      </c>
      <c r="K590">
        <f>IF(IFERROR(INDEX(Spots!$K$2:$K$96,MATCH(A590,Spots!$A$2:$A$96,0)),"")="","",IFERROR(INDEX(Spots!$K$2:$K$96,MATCH(A590,Spots!$A$2:$A$96,0)),""))</f>
        <v/>
      </c>
      <c r="L590" s="3">
        <f>IF(OR(K590="",F590=""),"",F590/1000*K590*100)</f>
        <v/>
      </c>
      <c r="M590">
        <f>IF(OR(L590="",L590=0),"",ROUND(100/L590,0))</f>
        <v/>
      </c>
      <c r="N590" t="inlineStr"/>
    </row>
    <row r="591">
      <c r="A591" t="n">
        <v>97</v>
      </c>
      <c r="B591" t="inlineStr">
        <is>
          <t>Gyfin Rhasia Underground</t>
        </is>
      </c>
      <c r="C591" t="inlineStr">
        <is>
          <t>Imperfect Lightstone of Fire</t>
        </is>
      </c>
      <c r="D591" t="n">
        <v>0.12513293</v>
      </c>
      <c r="E591" t="n">
        <v>9964.700000000001</v>
      </c>
      <c r="F591" s="3" t="n">
        <v>0.01255762140355455</v>
      </c>
      <c r="G591" t="n">
        <v>79633</v>
      </c>
      <c r="H591" s="3" t="n">
        <v>0.0115329635649914</v>
      </c>
      <c r="I591" s="3" t="n">
        <v>0.01364889842267179</v>
      </c>
      <c r="J591" t="n">
        <v>553.4</v>
      </c>
      <c r="K591">
        <f>IF(IFERROR(INDEX(Spots!$K$2:$K$96,MATCH(A591,Spots!$A$2:$A$96,0)),"")="","",IFERROR(INDEX(Spots!$K$2:$K$96,MATCH(A591,Spots!$A$2:$A$96,0)),""))</f>
        <v/>
      </c>
      <c r="L591" s="3">
        <f>IF(OR(K591="",F591=""),"",F591/1000*K591*100)</f>
        <v/>
      </c>
      <c r="M591">
        <f>IF(OR(L591="",L591=0),"",ROUND(100/L591,0))</f>
        <v/>
      </c>
      <c r="N591" t="inlineStr"/>
    </row>
    <row r="592">
      <c r="A592" t="n">
        <v>97</v>
      </c>
      <c r="B592" t="inlineStr">
        <is>
          <t>Gyfin Rhasia Underground</t>
        </is>
      </c>
      <c r="C592" t="inlineStr">
        <is>
          <t>Any Artifact</t>
        </is>
      </c>
      <c r="D592" t="n">
        <v>0.07599343</v>
      </c>
      <c r="E592" t="n">
        <v>9964.700000000001</v>
      </c>
      <c r="F592" s="3" t="n">
        <v>0.007626263710899474</v>
      </c>
      <c r="G592" t="n">
        <v>131126</v>
      </c>
      <c r="H592" s="3" t="n">
        <v>0.006832568752219163</v>
      </c>
      <c r="I592" s="3" t="n">
        <v>0.008486839702408605</v>
      </c>
      <c r="J592" t="n">
        <v>336.1</v>
      </c>
      <c r="K592">
        <f>IF(IFERROR(INDEX(Spots!$K$2:$K$96,MATCH(A592,Spots!$A$2:$A$96,0)),"")="","",IFERROR(INDEX(Spots!$K$2:$K$96,MATCH(A592,Spots!$A$2:$A$96,0)),""))</f>
        <v/>
      </c>
      <c r="L592" s="3">
        <f>IF(OR(K592="",F592=""),"",F592/1000*K592*100)</f>
        <v/>
      </c>
      <c r="M592">
        <f>IF(OR(L592="",L592=0),"",ROUND(100/L592,0))</f>
        <v/>
      </c>
      <c r="N592" t="inlineStr"/>
    </row>
    <row r="593">
      <c r="A593" t="n">
        <v>97</v>
      </c>
      <c r="B593" t="inlineStr">
        <is>
          <t>Gyfin Rhasia Underground</t>
        </is>
      </c>
      <c r="C593" t="inlineStr">
        <is>
          <t>Imperfect Lightstone of Wind</t>
        </is>
      </c>
      <c r="D593" t="n">
        <v>0.07296769</v>
      </c>
      <c r="E593" t="n">
        <v>9964.700000000001</v>
      </c>
      <c r="F593" s="3" t="n">
        <v>0.007322617840978655</v>
      </c>
      <c r="G593" t="n">
        <v>136563</v>
      </c>
      <c r="H593" s="3" t="n">
        <v>0.00654532387768894</v>
      </c>
      <c r="I593" s="3" t="n">
        <v>0.008166817107846379</v>
      </c>
      <c r="J593" t="n">
        <v>322.7</v>
      </c>
      <c r="K593">
        <f>IF(IFERROR(INDEX(Spots!$K$2:$K$96,MATCH(A593,Spots!$A$2:$A$96,0)),"")="","",IFERROR(INDEX(Spots!$K$2:$K$96,MATCH(A593,Spots!$A$2:$A$96,0)),""))</f>
        <v/>
      </c>
      <c r="L593" s="3">
        <f>IF(OR(K593="",F593=""),"",F593/1000*K593*100)</f>
        <v/>
      </c>
      <c r="M593">
        <f>IF(OR(L593="",L593=0),"",ROUND(100/L593,0))</f>
        <v/>
      </c>
      <c r="N593" t="inlineStr"/>
    </row>
    <row r="594">
      <c r="A594" t="n">
        <v>97</v>
      </c>
      <c r="B594" t="inlineStr">
        <is>
          <t>Gyfin Rhasia Underground</t>
        </is>
      </c>
      <c r="C594" t="inlineStr">
        <is>
          <t>Elkarr</t>
        </is>
      </c>
      <c r="D594" t="n">
        <v>0.04092825</v>
      </c>
      <c r="E594" t="n">
        <v>9964.700000000001</v>
      </c>
      <c r="F594" s="3" t="n">
        <v>0.004107323853201802</v>
      </c>
      <c r="G594" t="n">
        <v>243468</v>
      </c>
      <c r="H594" s="3" t="n">
        <v>0.003530683062569159</v>
      </c>
      <c r="I594" s="3" t="n">
        <v>0.004751272524307999</v>
      </c>
      <c r="J594" t="n">
        <v>181</v>
      </c>
      <c r="K594">
        <f>IF(IFERROR(INDEX(Spots!$K$2:$K$96,MATCH(A594,Spots!$A$2:$A$96,0)),"")="","",IFERROR(INDEX(Spots!$K$2:$K$96,MATCH(A594,Spots!$A$2:$A$96,0)),""))</f>
        <v/>
      </c>
      <c r="L594" s="3">
        <f>IF(OR(K594="",F594=""),"",F594/1000*K594*100)</f>
        <v/>
      </c>
      <c r="M594">
        <f>IF(OR(L594="",L594=0),"",ROUND(100/L594,0))</f>
        <v/>
      </c>
      <c r="N594" t="inlineStr"/>
    </row>
    <row r="595">
      <c r="A595" t="n">
        <v>214</v>
      </c>
      <c r="B595" t="inlineStr">
        <is>
          <t>Hermesia Inner Castle</t>
        </is>
      </c>
      <c r="C595" t="inlineStr">
        <is>
          <t>Ancient Spirit Dust</t>
        </is>
      </c>
      <c r="D595" t="n">
        <v>29.656</v>
      </c>
      <c r="E595" t="n">
        <v>6661</v>
      </c>
      <c r="F595" s="3" t="n">
        <v>4.452184356703198</v>
      </c>
      <c r="G595" t="n">
        <v>225</v>
      </c>
      <c r="H595" s="3" t="n">
        <v>4.436710579009647</v>
      </c>
      <c r="I595" s="3" t="n">
        <v>4.467698748070579</v>
      </c>
      <c r="J595" t="n">
        <v>317482.8</v>
      </c>
      <c r="K595">
        <f>IF(IFERROR(INDEX(Spots!$K$2:$K$96,MATCH(A595,Spots!$A$2:$A$96,0)),"")="","",IFERROR(INDEX(Spots!$K$2:$K$96,MATCH(A595,Spots!$A$2:$A$96,0)),""))</f>
        <v/>
      </c>
      <c r="L595" s="3">
        <f>IF(OR(K595="",F595=""),"",F595/1000*K595*100)</f>
        <v/>
      </c>
      <c r="M595">
        <f>IF(OR(L595="",L595=0),"",ROUND(100/L595,0))</f>
        <v/>
      </c>
      <c r="N595" t="inlineStr"/>
    </row>
    <row r="596">
      <c r="A596" t="n">
        <v>214</v>
      </c>
      <c r="B596" t="inlineStr">
        <is>
          <t>Hermesia Inner Castle</t>
        </is>
      </c>
      <c r="C596" t="inlineStr">
        <is>
          <t>Black Stone</t>
        </is>
      </c>
      <c r="D596" t="n">
        <v>20.185</v>
      </c>
      <c r="E596" t="n">
        <v>6661</v>
      </c>
      <c r="F596" s="3" t="n">
        <v>3.030325776910374</v>
      </c>
      <c r="G596" t="n">
        <v>330</v>
      </c>
      <c r="H596" s="3" t="n">
        <v>3.017562114484866</v>
      </c>
      <c r="I596" s="3" t="n">
        <v>3.043130058178779</v>
      </c>
      <c r="J596" t="n">
        <v>216090.9</v>
      </c>
      <c r="K596">
        <f>IF(IFERROR(INDEX(Spots!$K$2:$K$96,MATCH(A596,Spots!$A$2:$A$96,0)),"")="","",IFERROR(INDEX(Spots!$K$2:$K$96,MATCH(A596,Spots!$A$2:$A$96,0)),""))</f>
        <v/>
      </c>
      <c r="L596" s="3">
        <f>IF(OR(K596="",F596=""),"",F596/1000*K596*100)</f>
        <v/>
      </c>
      <c r="M596">
        <f>IF(OR(L596="",L596=0),"",ROUND(100/L596,0))</f>
        <v/>
      </c>
      <c r="N596" t="inlineStr"/>
    </row>
    <row r="597">
      <c r="A597" t="n">
        <v>214</v>
      </c>
      <c r="B597" t="inlineStr">
        <is>
          <t>Hermesia Inner Castle</t>
        </is>
      </c>
      <c r="C597" t="inlineStr">
        <is>
          <t>Sealed Black Magic Crystal</t>
        </is>
      </c>
      <c r="D597" t="n">
        <v>6.872834</v>
      </c>
      <c r="E597" t="n">
        <v>6661</v>
      </c>
      <c r="F597" s="3" t="n">
        <v>1.03180213181204</v>
      </c>
      <c r="G597" t="n">
        <v>969</v>
      </c>
      <c r="H597" s="3" t="n">
        <v>1.024359854615853</v>
      </c>
      <c r="I597" s="3" t="n">
        <v>1.039285048925645</v>
      </c>
      <c r="J597" t="n">
        <v>73577.2</v>
      </c>
      <c r="K597">
        <f>IF(IFERROR(INDEX(Spots!$K$2:$K$96,MATCH(A597,Spots!$A$2:$A$96,0)),"")="","",IFERROR(INDEX(Spots!$K$2:$K$96,MATCH(A597,Spots!$A$2:$A$96,0)),""))</f>
        <v/>
      </c>
      <c r="L597" s="3">
        <f>IF(OR(K597="",F597=""),"",F597/1000*K597*100)</f>
        <v/>
      </c>
      <c r="M597">
        <f>IF(OR(L597="",L597=0),"",ROUND(100/L597,0))</f>
        <v/>
      </c>
      <c r="N597" t="inlineStr"/>
    </row>
    <row r="598">
      <c r="A598" t="n">
        <v>214</v>
      </c>
      <c r="B598" t="inlineStr">
        <is>
          <t>Hermesia Inner Castle</t>
        </is>
      </c>
      <c r="C598" t="inlineStr">
        <is>
          <t>Caphras Stone</t>
        </is>
      </c>
      <c r="D598" t="n">
        <v>6.300246</v>
      </c>
      <c r="E598" t="n">
        <v>6661</v>
      </c>
      <c r="F598" s="3" t="n">
        <v>0.9458408647350247</v>
      </c>
      <c r="G598" t="n">
        <v>1057</v>
      </c>
      <c r="H598" s="3" t="n">
        <v>0.938715909062223</v>
      </c>
      <c r="I598" s="3" t="n">
        <v>0.9530064625738218</v>
      </c>
      <c r="J598" t="n">
        <v>67447.39999999999</v>
      </c>
      <c r="K598">
        <f>IF(IFERROR(INDEX(Spots!$K$2:$K$96,MATCH(A598,Spots!$A$2:$A$96,0)),"")="","",IFERROR(INDEX(Spots!$K$2:$K$96,MATCH(A598,Spots!$A$2:$A$96,0)),""))</f>
        <v/>
      </c>
      <c r="L598" s="3">
        <f>IF(OR(K598="",F598=""),"",F598/1000*K598*100)</f>
        <v/>
      </c>
      <c r="M598">
        <f>IF(OR(L598="",L598=0),"",ROUND(100/L598,0))</f>
        <v/>
      </c>
      <c r="N598" t="inlineStr"/>
    </row>
    <row r="599">
      <c r="A599" t="n">
        <v>214</v>
      </c>
      <c r="B599" t="inlineStr">
        <is>
          <t>Hermesia Inner Castle</t>
        </is>
      </c>
      <c r="C599" t="inlineStr">
        <is>
          <t>BON Origin Shard</t>
        </is>
      </c>
      <c r="D599" t="n">
        <v>2.397277</v>
      </c>
      <c r="E599" t="n">
        <v>6661</v>
      </c>
      <c r="F599" s="3" t="n">
        <v>0.3598974628434169</v>
      </c>
      <c r="G599" t="n">
        <v>2779</v>
      </c>
      <c r="H599" s="3" t="n">
        <v>0.3555075237771032</v>
      </c>
      <c r="I599" s="3" t="n">
        <v>0.3643280768728258</v>
      </c>
      <c r="J599" t="n">
        <v>25664.1</v>
      </c>
      <c r="K599">
        <f>IF(IFERROR(INDEX(Spots!$K$2:$K$96,MATCH(A599,Spots!$A$2:$A$96,0)),"")="","",IFERROR(INDEX(Spots!$K$2:$K$96,MATCH(A599,Spots!$A$2:$A$96,0)),""))</f>
        <v/>
      </c>
      <c r="L599" s="3">
        <f>IF(OR(K599="",F599=""),"",F599/1000*K599*100)</f>
        <v/>
      </c>
      <c r="M599">
        <f>IF(OR(L599="",L599=0),"",ROUND(100/L599,0))</f>
        <v/>
      </c>
      <c r="N599" t="inlineStr"/>
    </row>
    <row r="600">
      <c r="A600" t="n">
        <v>214</v>
      </c>
      <c r="B600" t="inlineStr">
        <is>
          <t>Hermesia Inner Castle</t>
        </is>
      </c>
      <c r="C600" t="inlineStr">
        <is>
          <t>Twilight of the End - Ring</t>
        </is>
      </c>
      <c r="D600" t="n">
        <v>0.4213514</v>
      </c>
      <c r="E600" t="n">
        <v>6661</v>
      </c>
      <c r="F600" s="3" t="n">
        <v>0.06325647800630536</v>
      </c>
      <c r="G600" t="n">
        <v>15809</v>
      </c>
      <c r="H600" s="3" t="n">
        <v>0.0614237791248549</v>
      </c>
      <c r="I600" s="3" t="n">
        <v>0.0651299701407807</v>
      </c>
      <c r="J600" t="n">
        <v>4510.8</v>
      </c>
      <c r="K600">
        <f>IF(IFERROR(INDEX(Spots!$K$2:$K$96,MATCH(A600,Spots!$A$2:$A$96,0)),"")="","",IFERROR(INDEX(Spots!$K$2:$K$96,MATCH(A600,Spots!$A$2:$A$96,0)),""))</f>
        <v/>
      </c>
      <c r="L600" s="3">
        <f>IF(OR(K600="",F600=""),"",F600/1000*K600*100)</f>
        <v/>
      </c>
      <c r="M600">
        <f>IF(OR(L600="",L600=0),"",ROUND(100/L600,0))</f>
        <v/>
      </c>
      <c r="N600" t="inlineStr"/>
    </row>
    <row r="601">
      <c r="A601" t="n">
        <v>214</v>
      </c>
      <c r="B601" t="inlineStr">
        <is>
          <t>Hermesia Inner Castle</t>
        </is>
      </c>
      <c r="C601" t="inlineStr">
        <is>
          <t>Nev's Fragment</t>
        </is>
      </c>
      <c r="D601" t="n">
        <v>0.28743607</v>
      </c>
      <c r="E601" t="n">
        <v>6661</v>
      </c>
      <c r="F601" s="3" t="n">
        <v>0.04315208977630986</v>
      </c>
      <c r="G601" t="n">
        <v>23174</v>
      </c>
      <c r="H601" s="3" t="n">
        <v>0.04164071517624657</v>
      </c>
      <c r="I601" s="3" t="n">
        <v>0.04470430044113138</v>
      </c>
      <c r="J601" t="n">
        <v>3077.2</v>
      </c>
      <c r="K601">
        <f>IF(IFERROR(INDEX(Spots!$K$2:$K$96,MATCH(A601,Spots!$A$2:$A$96,0)),"")="","",IFERROR(INDEX(Spots!$K$2:$K$96,MATCH(A601,Spots!$A$2:$A$96,0)),""))</f>
        <v/>
      </c>
      <c r="L601" s="3">
        <f>IF(OR(K601="",F601=""),"",F601/1000*K601*100)</f>
        <v/>
      </c>
      <c r="M601">
        <f>IF(OR(L601="",L601=0),"",ROUND(100/L601,0))</f>
        <v/>
      </c>
      <c r="N601" t="inlineStr"/>
    </row>
    <row r="602">
      <c r="A602" t="n">
        <v>214</v>
      </c>
      <c r="B602" t="inlineStr">
        <is>
          <t>Hermesia Inner Castle</t>
        </is>
      </c>
      <c r="C602" t="inlineStr">
        <is>
          <t>Silent Fragment of Origin</t>
        </is>
      </c>
      <c r="D602" t="n">
        <v>0.27427848</v>
      </c>
      <c r="E602" t="n">
        <v>6661</v>
      </c>
      <c r="F602" s="3" t="n">
        <v>0.04117677225641795</v>
      </c>
      <c r="G602" t="n">
        <v>24286</v>
      </c>
      <c r="H602" s="3" t="n">
        <v>0.03970070437801401</v>
      </c>
      <c r="I602" s="3" t="n">
        <v>0.04269368202533781</v>
      </c>
      <c r="J602" t="n">
        <v>2936.3</v>
      </c>
      <c r="K602">
        <f>IF(IFERROR(INDEX(Spots!$K$2:$K$96,MATCH(A602,Spots!$A$2:$A$96,0)),"")="","",IFERROR(INDEX(Spots!$K$2:$K$96,MATCH(A602,Spots!$A$2:$A$96,0)),""))</f>
        <v/>
      </c>
      <c r="L602" s="3">
        <f>IF(OR(K602="",F602=""),"",F602/1000*K602*100)</f>
        <v/>
      </c>
      <c r="M602">
        <f>IF(OR(L602="",L602=0),"",ROUND(100/L602,0))</f>
        <v/>
      </c>
      <c r="N602" t="inlineStr"/>
    </row>
    <row r="603">
      <c r="A603" t="n">
        <v>214</v>
      </c>
      <c r="B603" t="inlineStr">
        <is>
          <t>Hermesia Inner Castle</t>
        </is>
      </c>
      <c r="C603" t="inlineStr">
        <is>
          <t>Fusion Shard</t>
        </is>
      </c>
      <c r="D603" t="n">
        <v>0.24580348</v>
      </c>
      <c r="E603" t="n">
        <v>6661</v>
      </c>
      <c r="F603" s="3" t="n">
        <v>0.03690188860531452</v>
      </c>
      <c r="G603" t="n">
        <v>27099</v>
      </c>
      <c r="H603" s="3" t="n">
        <v>0.03550525368722104</v>
      </c>
      <c r="I603" s="3" t="n">
        <v>0.03833937958254381</v>
      </c>
      <c r="J603" t="n">
        <v>2631.5</v>
      </c>
      <c r="K603">
        <f>IF(IFERROR(INDEX(Spots!$K$2:$K$96,MATCH(A603,Spots!$A$2:$A$96,0)),"")="","",IFERROR(INDEX(Spots!$K$2:$K$96,MATCH(A603,Spots!$A$2:$A$96,0)),""))</f>
        <v/>
      </c>
      <c r="L603" s="3">
        <f>IF(OR(K603="",F603=""),"",F603/1000*K603*100)</f>
        <v/>
      </c>
      <c r="M603">
        <f>IF(OR(L603="",L603=0),"",ROUND(100/L603,0))</f>
        <v/>
      </c>
      <c r="N603" t="inlineStr"/>
    </row>
    <row r="604">
      <c r="A604" t="n">
        <v>214</v>
      </c>
      <c r="B604" t="inlineStr">
        <is>
          <t>Hermesia Inner Castle</t>
        </is>
      </c>
      <c r="C604" t="inlineStr">
        <is>
          <t>Twilight of the End - Earring</t>
        </is>
      </c>
      <c r="D604" t="n">
        <v>0.10819289</v>
      </c>
      <c r="E604" t="n">
        <v>6661</v>
      </c>
      <c r="F604" s="3" t="n">
        <v>0.01624273982885453</v>
      </c>
      <c r="G604" t="n">
        <v>61566</v>
      </c>
      <c r="H604" s="3" t="n">
        <v>0.01532065414628719</v>
      </c>
      <c r="I604" s="3" t="n">
        <v>0.01720581600635789</v>
      </c>
      <c r="J604" t="n">
        <v>1158.3</v>
      </c>
      <c r="K604">
        <f>IF(IFERROR(INDEX(Spots!$K$2:$K$96,MATCH(A604,Spots!$A$2:$A$96,0)),"")="","",IFERROR(INDEX(Spots!$K$2:$K$96,MATCH(A604,Spots!$A$2:$A$96,0)),""))</f>
        <v/>
      </c>
      <c r="L604" s="3">
        <f>IF(OR(K604="",F604=""),"",F604/1000*K604*100)</f>
        <v/>
      </c>
      <c r="M604">
        <f>IF(OR(L604="",L604=0),"",ROUND(100/L604,0))</f>
        <v/>
      </c>
      <c r="N604" t="inlineStr"/>
    </row>
    <row r="605">
      <c r="A605" t="n">
        <v>214</v>
      </c>
      <c r="B605" t="inlineStr">
        <is>
          <t>Hermesia Inner Castle</t>
        </is>
      </c>
      <c r="C605" t="inlineStr">
        <is>
          <t>Embers of Ynix - Helmet</t>
        </is>
      </c>
      <c r="D605" t="n">
        <v>0.03146354</v>
      </c>
      <c r="E605" t="n">
        <v>6661</v>
      </c>
      <c r="F605" s="3" t="n">
        <v>0.004723546014111995</v>
      </c>
      <c r="G605" t="n">
        <v>211705</v>
      </c>
      <c r="H605" s="3" t="n">
        <v>0.004232496007798661</v>
      </c>
      <c r="I605" s="3" t="n">
        <v>0.005255924994242229</v>
      </c>
      <c r="J605" t="n">
        <v>336.8</v>
      </c>
      <c r="K605">
        <f>IF(IFERROR(INDEX(Spots!$K$2:$K$96,MATCH(A605,Spots!$A$2:$A$96,0)),"")="","",IFERROR(INDEX(Spots!$K$2:$K$96,MATCH(A605,Spots!$A$2:$A$96,0)),""))</f>
        <v/>
      </c>
      <c r="L605" s="3">
        <f>IF(OR(K605="",F605=""),"",F605/1000*K605*100)</f>
        <v/>
      </c>
      <c r="M605">
        <f>IF(OR(L605="",L605=0),"",ROUND(100/L605,0))</f>
        <v/>
      </c>
      <c r="N605" t="inlineStr"/>
    </row>
    <row r="606">
      <c r="A606" t="n">
        <v>214</v>
      </c>
      <c r="B606" t="inlineStr">
        <is>
          <t>Hermesia Inner Castle</t>
        </is>
      </c>
      <c r="C606" t="inlineStr">
        <is>
          <t>BON Wandering Origin Crystal</t>
        </is>
      </c>
      <c r="D606" t="n">
        <v>0.01115478</v>
      </c>
      <c r="E606" t="n">
        <v>6661</v>
      </c>
      <c r="F606" s="3" t="n">
        <v>0.001674640444377721</v>
      </c>
      <c r="G606" t="n">
        <v>597143</v>
      </c>
      <c r="H606" s="3" t="n">
        <v>0.001387750993386</v>
      </c>
      <c r="I606" s="3" t="n">
        <v>0.002003350387882713</v>
      </c>
      <c r="J606" t="n">
        <v>119.4</v>
      </c>
      <c r="K606">
        <f>IF(IFERROR(INDEX(Spots!$K$2:$K$96,MATCH(A606,Spots!$A$2:$A$96,0)),"")="","",IFERROR(INDEX(Spots!$K$2:$K$96,MATCH(A606,Spots!$A$2:$A$96,0)),""))</f>
        <v/>
      </c>
      <c r="L606" s="3">
        <f>IF(OR(K606="",F606=""),"",F606/1000*K606*100)</f>
        <v/>
      </c>
      <c r="M606">
        <f>IF(OR(L606="",L606=0),"",ROUND(100/L606,0))</f>
        <v/>
      </c>
      <c r="N606" t="inlineStr"/>
    </row>
    <row r="607">
      <c r="A607" t="n">
        <v>214</v>
      </c>
      <c r="B607" t="inlineStr">
        <is>
          <t>Hermesia Inner Castle</t>
        </is>
      </c>
      <c r="C607" t="inlineStr">
        <is>
          <t>Corrupt Oil of Immortality</t>
        </is>
      </c>
      <c r="D607" t="n">
        <v>0.008115819999999999</v>
      </c>
      <c r="E607" t="n">
        <v>6661</v>
      </c>
      <c r="F607" s="3" t="n">
        <v>0.001218408647350248</v>
      </c>
      <c r="G607" t="n">
        <v>820743</v>
      </c>
      <c r="H607" s="3" t="n">
        <v>0.00097570997673547</v>
      </c>
      <c r="I607" s="3" t="n">
        <v>0.001503134323512423</v>
      </c>
      <c r="J607" t="n">
        <v>86.90000000000001</v>
      </c>
      <c r="K607">
        <f>IF(IFERROR(INDEX(Spots!$K$2:$K$96,MATCH(A607,Spots!$A$2:$A$96,0)),"")="","",IFERROR(INDEX(Spots!$K$2:$K$96,MATCH(A607,Spots!$A$2:$A$96,0)),""))</f>
        <v/>
      </c>
      <c r="L607" s="3">
        <f>IF(OR(K607="",F607=""),"",F607/1000*K607*100)</f>
        <v/>
      </c>
      <c r="M607">
        <f>IF(OR(L607="",L607=0),"",ROUND(100/L607,0))</f>
        <v/>
      </c>
      <c r="N607" t="inlineStr"/>
    </row>
    <row r="608">
      <c r="A608" t="n">
        <v>214</v>
      </c>
      <c r="B608" t="inlineStr">
        <is>
          <t>Hermesia Inner Castle</t>
        </is>
      </c>
      <c r="C608" t="inlineStr">
        <is>
          <t>Broken Vestige of Ebonmere</t>
        </is>
      </c>
      <c r="D608" t="n">
        <v>0.0054287</v>
      </c>
      <c r="E608" t="n">
        <v>6661</v>
      </c>
      <c r="F608" s="3" t="n">
        <v>0.000814997748085873</v>
      </c>
      <c r="G608" t="n">
        <v>1226997</v>
      </c>
      <c r="H608" s="3" t="n">
        <v>0.0006190057447346083</v>
      </c>
      <c r="I608" s="3" t="n">
        <v>0.001053326128423911</v>
      </c>
      <c r="J608" t="n">
        <v>58.1</v>
      </c>
      <c r="K608">
        <f>IF(IFERROR(INDEX(Spots!$K$2:$K$96,MATCH(A608,Spots!$A$2:$A$96,0)),"")="","",IFERROR(INDEX(Spots!$K$2:$K$96,MATCH(A608,Spots!$A$2:$A$96,0)),""))</f>
        <v/>
      </c>
      <c r="L608" s="3">
        <f>IF(OR(K608="",F608=""),"",F608/1000*K608*100)</f>
        <v/>
      </c>
      <c r="M608">
        <f>IF(OR(L608="",L608=0),"",ROUND(100/L608,0))</f>
        <v/>
      </c>
      <c r="N608" t="inlineStr"/>
    </row>
    <row r="609">
      <c r="A609" t="n">
        <v>214</v>
      </c>
      <c r="B609" t="inlineStr">
        <is>
          <t>Hermesia Inner Castle</t>
        </is>
      </c>
      <c r="C609" t="inlineStr">
        <is>
          <t>Silent Crystal of Origin</t>
        </is>
      </c>
      <c r="D609" t="n">
        <v>0.00502872</v>
      </c>
      <c r="E609" t="n">
        <v>6661</v>
      </c>
      <c r="F609" s="3" t="n">
        <v>0.0007549497072511635</v>
      </c>
      <c r="G609" t="n">
        <v>1324592</v>
      </c>
      <c r="H609" s="3" t="n">
        <v>0.0005668337268030172</v>
      </c>
      <c r="I609" s="3" t="n">
        <v>0.0009854677765698317</v>
      </c>
      <c r="J609" t="n">
        <v>53.8</v>
      </c>
      <c r="K609">
        <f>IF(IFERROR(INDEX(Spots!$K$2:$K$96,MATCH(A609,Spots!$A$2:$A$96,0)),"")="","",IFERROR(INDEX(Spots!$K$2:$K$96,MATCH(A609,Spots!$A$2:$A$96,0)),""))</f>
        <v/>
      </c>
      <c r="L609" s="3">
        <f>IF(OR(K609="",F609=""),"",F609/1000*K609*100)</f>
        <v/>
      </c>
      <c r="M609">
        <f>IF(OR(L609="",L609=0),"",ROUND(100/L609,0))</f>
        <v/>
      </c>
      <c r="N609" t="inlineStr"/>
    </row>
    <row r="610">
      <c r="A610" t="n">
        <v>214</v>
      </c>
      <c r="B610" t="inlineStr">
        <is>
          <t>Hermesia Inner Castle</t>
        </is>
      </c>
      <c r="C610" t="inlineStr">
        <is>
          <t>Apeiron Ring</t>
        </is>
      </c>
      <c r="D610" t="n">
        <v>0.00044703</v>
      </c>
      <c r="E610" t="n">
        <v>6661</v>
      </c>
      <c r="F610" s="3" t="n">
        <v>6.711154481309113e-05</v>
      </c>
      <c r="G610" t="n">
        <v>14900566</v>
      </c>
      <c r="H610" s="3" t="n">
        <v>2.092863725506564e-05</v>
      </c>
      <c r="I610" s="3" t="n">
        <v>0.0001593860610312491</v>
      </c>
      <c r="J610" t="n">
        <v>4.8</v>
      </c>
      <c r="K610">
        <f>IF(IFERROR(INDEX(Spots!$K$2:$K$96,MATCH(A610,Spots!$A$2:$A$96,0)),"")="","",IFERROR(INDEX(Spots!$K$2:$K$96,MATCH(A610,Spots!$A$2:$A$96,0)),""))</f>
        <v/>
      </c>
      <c r="L610" s="3">
        <f>IF(OR(K610="",F610=""),"",F610/1000*K610*100)</f>
        <v/>
      </c>
      <c r="M610">
        <f>IF(OR(L610="",L610=0),"",ROUND(100/L610,0))</f>
        <v/>
      </c>
      <c r="N610" t="inlineStr">
        <is>
          <t>low sample</t>
        </is>
      </c>
    </row>
    <row r="611">
      <c r="A611" t="n">
        <v>214</v>
      </c>
      <c r="B611" t="inlineStr">
        <is>
          <t>Hermesia Inner Castle</t>
        </is>
      </c>
      <c r="C611" t="inlineStr">
        <is>
          <t>Apeiron Earring</t>
        </is>
      </c>
      <c r="D611" t="n">
        <v>0.00032984</v>
      </c>
      <c r="E611" t="n">
        <v>6661</v>
      </c>
      <c r="F611" s="3" t="n">
        <v>4.95180903768203e-05</v>
      </c>
      <c r="G611" t="n">
        <v>20194640</v>
      </c>
      <c r="H611" s="3" t="n">
        <v>1.185037787345913e-05</v>
      </c>
      <c r="I611" s="3" t="n">
        <v>0.0001340081796096121</v>
      </c>
      <c r="J611" t="n">
        <v>3.5</v>
      </c>
      <c r="K611">
        <f>IF(IFERROR(INDEX(Spots!$K$2:$K$96,MATCH(A611,Spots!$A$2:$A$96,0)),"")="","",IFERROR(INDEX(Spots!$K$2:$K$96,MATCH(A611,Spots!$A$2:$A$96,0)),""))</f>
        <v/>
      </c>
      <c r="L611" s="3">
        <f>IF(OR(K611="",F611=""),"",F611/1000*K611*100)</f>
        <v/>
      </c>
      <c r="M611">
        <f>IF(OR(L611="",L611=0),"",ROUND(100/L611,0))</f>
        <v/>
      </c>
      <c r="N611" t="inlineStr">
        <is>
          <t>low sample</t>
        </is>
      </c>
    </row>
    <row r="612">
      <c r="A612" t="n">
        <v>124</v>
      </c>
      <c r="B612" t="inlineStr">
        <is>
          <t>Hexe Sanctuary</t>
        </is>
      </c>
      <c r="C612" t="inlineStr">
        <is>
          <t>Tattered Shadow</t>
        </is>
      </c>
      <c r="D612" t="n">
        <v>420.37</v>
      </c>
      <c r="E612" t="n">
        <v>11493</v>
      </c>
      <c r="F612" s="3" t="n">
        <v>36.57617680327156</v>
      </c>
      <c r="G612" t="n">
        <v>27</v>
      </c>
      <c r="H612" s="3" t="n">
        <v>36.55791349056535</v>
      </c>
      <c r="I612" s="3" t="n">
        <v>36.59444698906144</v>
      </c>
      <c r="J612" t="n">
        <v>15404325.5</v>
      </c>
      <c r="K612">
        <f>IF(IFERROR(INDEX(Spots!$K$2:$K$96,MATCH(A612,Spots!$A$2:$A$96,0)),"")="","",IFERROR(INDEX(Spots!$K$2:$K$96,MATCH(A612,Spots!$A$2:$A$96,0)),""))</f>
        <v/>
      </c>
      <c r="L612" s="3">
        <f>IF(OR(K612="",F612=""),"",F612/1000*K612*100)</f>
        <v/>
      </c>
      <c r="M612">
        <f>IF(OR(L612="",L612=0),"",ROUND(100/L612,0))</f>
        <v/>
      </c>
      <c r="N612" t="inlineStr"/>
    </row>
    <row r="613">
      <c r="A613" t="n">
        <v>124</v>
      </c>
      <c r="B613" t="inlineStr">
        <is>
          <t>Hexe Sanctuary</t>
        </is>
      </c>
      <c r="C613" t="inlineStr">
        <is>
          <t>Black Stone</t>
        </is>
      </c>
      <c r="D613" t="n">
        <v>120.97</v>
      </c>
      <c r="E613" t="n">
        <v>11493</v>
      </c>
      <c r="F613" s="3" t="n">
        <v>10.52553728356391</v>
      </c>
      <c r="G613" t="n">
        <v>95</v>
      </c>
      <c r="H613" s="3" t="n">
        <v>10.51574111351896</v>
      </c>
      <c r="I613" s="3" t="n">
        <v>10.53534032720478</v>
      </c>
      <c r="J613" t="n">
        <v>4432907.3</v>
      </c>
      <c r="K613">
        <f>IF(IFERROR(INDEX(Spots!$K$2:$K$96,MATCH(A613,Spots!$A$2:$A$96,0)),"")="","",IFERROR(INDEX(Spots!$K$2:$K$96,MATCH(A613,Spots!$A$2:$A$96,0)),""))</f>
        <v/>
      </c>
      <c r="L613" s="3">
        <f>IF(OR(K613="",F613=""),"",F613/1000*K613*100)</f>
        <v/>
      </c>
      <c r="M613">
        <f>IF(OR(L613="",L613=0),"",ROUND(100/L613,0))</f>
        <v/>
      </c>
      <c r="N613" t="inlineStr"/>
    </row>
    <row r="614">
      <c r="A614" t="n">
        <v>124</v>
      </c>
      <c r="B614" t="inlineStr">
        <is>
          <t>Hexe Sanctuary</t>
        </is>
      </c>
      <c r="C614" t="inlineStr">
        <is>
          <t>Ancient Spirit Dust</t>
        </is>
      </c>
      <c r="D614" t="n">
        <v>40.662</v>
      </c>
      <c r="E614" t="n">
        <v>11493</v>
      </c>
      <c r="F614" s="3" t="n">
        <v>3.537979639780736</v>
      </c>
      <c r="G614" t="n">
        <v>283</v>
      </c>
      <c r="H614" s="3" t="n">
        <v>3.532301062356792</v>
      </c>
      <c r="I614" s="3" t="n">
        <v>3.543665091601443</v>
      </c>
      <c r="J614" t="n">
        <v>1490046.1</v>
      </c>
      <c r="K614">
        <f>IF(IFERROR(INDEX(Spots!$K$2:$K$96,MATCH(A614,Spots!$A$2:$A$96,0)),"")="","",IFERROR(INDEX(Spots!$K$2:$K$96,MATCH(A614,Spots!$A$2:$A$96,0)),""))</f>
        <v/>
      </c>
      <c r="L614" s="3">
        <f>IF(OR(K614="",F614=""),"",F614/1000*K614*100)</f>
        <v/>
      </c>
      <c r="M614">
        <f>IF(OR(L614="",L614=0),"",ROUND(100/L614,0))</f>
        <v/>
      </c>
      <c r="N614" t="inlineStr"/>
    </row>
    <row r="615">
      <c r="A615" t="n">
        <v>124</v>
      </c>
      <c r="B615" t="inlineStr">
        <is>
          <t>Hexe Sanctuary</t>
        </is>
      </c>
      <c r="C615" t="inlineStr">
        <is>
          <t>Caphras Stone</t>
        </is>
      </c>
      <c r="D615" t="n">
        <v>15.289</v>
      </c>
      <c r="E615" t="n">
        <v>11493</v>
      </c>
      <c r="F615" s="3" t="n">
        <v>1.330288001392152</v>
      </c>
      <c r="G615" t="n">
        <v>752</v>
      </c>
      <c r="H615" s="3" t="n">
        <v>1.326806823891555</v>
      </c>
      <c r="I615" s="3" t="n">
        <v>1.333776054491452</v>
      </c>
      <c r="J615" t="n">
        <v>560260.6</v>
      </c>
      <c r="K615">
        <f>IF(IFERROR(INDEX(Spots!$K$2:$K$96,MATCH(A615,Spots!$A$2:$A$96,0)),"")="","",IFERROR(INDEX(Spots!$K$2:$K$96,MATCH(A615,Spots!$A$2:$A$96,0)),""))</f>
        <v/>
      </c>
      <c r="L615" s="3">
        <f>IF(OR(K615="",F615=""),"",F615/1000*K615*100)</f>
        <v/>
      </c>
      <c r="M615">
        <f>IF(OR(L615="",L615=0),"",ROUND(100/L615,0))</f>
        <v/>
      </c>
      <c r="N615" t="inlineStr"/>
    </row>
    <row r="616">
      <c r="A616" t="n">
        <v>124</v>
      </c>
      <c r="B616" t="inlineStr">
        <is>
          <t>Hexe Sanctuary</t>
        </is>
      </c>
      <c r="C616" t="inlineStr">
        <is>
          <t>Trace of Nature</t>
        </is>
      </c>
      <c r="D616" t="n">
        <v>8.700518000000001</v>
      </c>
      <c r="E616" t="n">
        <v>11493</v>
      </c>
      <c r="F616" s="3" t="n">
        <v>0.7570275820064388</v>
      </c>
      <c r="G616" t="n">
        <v>1321</v>
      </c>
      <c r="H616" s="3" t="n">
        <v>0.7544020472873648</v>
      </c>
      <c r="I616" s="3" t="n">
        <v>0.7596599933357939</v>
      </c>
      <c r="J616" t="n">
        <v>318827.7</v>
      </c>
      <c r="K616">
        <f>IF(IFERROR(INDEX(Spots!$K$2:$K$96,MATCH(A616,Spots!$A$2:$A$96,0)),"")="","",IFERROR(INDEX(Spots!$K$2:$K$96,MATCH(A616,Spots!$A$2:$A$96,0)),""))</f>
        <v/>
      </c>
      <c r="L616" s="3">
        <f>IF(OR(K616="",F616=""),"",F616/1000*K616*100)</f>
        <v/>
      </c>
      <c r="M616">
        <f>IF(OR(L616="",L616=0),"",ROUND(100/L616,0))</f>
        <v/>
      </c>
      <c r="N616" t="inlineStr"/>
    </row>
    <row r="617">
      <c r="A617" t="n">
        <v>124</v>
      </c>
      <c r="B617" t="inlineStr">
        <is>
          <t>Hexe Sanctuary</t>
        </is>
      </c>
      <c r="C617" t="inlineStr">
        <is>
          <t>Corrupted Breath</t>
        </is>
      </c>
      <c r="D617" t="n">
        <v>8.477997999999999</v>
      </c>
      <c r="E617" t="n">
        <v>11493</v>
      </c>
      <c r="F617" s="3" t="n">
        <v>0.7376662316192465</v>
      </c>
      <c r="G617" t="n">
        <v>1356</v>
      </c>
      <c r="H617" s="3" t="n">
        <v>0.7350745179924313</v>
      </c>
      <c r="I617" s="3" t="n">
        <v>0.7402648219100327</v>
      </c>
      <c r="J617" t="n">
        <v>310673.6</v>
      </c>
      <c r="K617">
        <f>IF(IFERROR(INDEX(Spots!$K$2:$K$96,MATCH(A617,Spots!$A$2:$A$96,0)),"")="","",IFERROR(INDEX(Spots!$K$2:$K$96,MATCH(A617,Spots!$A$2:$A$96,0)),""))</f>
        <v/>
      </c>
      <c r="L617" s="3">
        <f>IF(OR(K617="",F617=""),"",F617/1000*K617*100)</f>
        <v/>
      </c>
      <c r="M617">
        <f>IF(OR(L617="",L617=0),"",ROUND(100/L617,0))</f>
        <v/>
      </c>
      <c r="N617" t="inlineStr"/>
    </row>
    <row r="618">
      <c r="A618" t="n">
        <v>124</v>
      </c>
      <c r="B618" t="inlineStr">
        <is>
          <t>Hexe Sanctuary</t>
        </is>
      </c>
      <c r="C618" t="inlineStr">
        <is>
          <t>Sealed Black Magic Crystal</t>
        </is>
      </c>
      <c r="D618" t="n">
        <v>6.382016</v>
      </c>
      <c r="E618" t="n">
        <v>11493</v>
      </c>
      <c r="F618" s="3" t="n">
        <v>0.5552959192551988</v>
      </c>
      <c r="G618" t="n">
        <v>1801</v>
      </c>
      <c r="H618" s="3" t="n">
        <v>0.5530475804239102</v>
      </c>
      <c r="I618" s="3" t="n">
        <v>0.5575511353868741</v>
      </c>
      <c r="J618" t="n">
        <v>233867</v>
      </c>
      <c r="K618">
        <f>IF(IFERROR(INDEX(Spots!$K$2:$K$96,MATCH(A618,Spots!$A$2:$A$96,0)),"")="","",IFERROR(INDEX(Spots!$K$2:$K$96,MATCH(A618,Spots!$A$2:$A$96,0)),""))</f>
        <v/>
      </c>
      <c r="L618" s="3">
        <f>IF(OR(K618="",F618=""),"",F618/1000*K618*100)</f>
        <v/>
      </c>
      <c r="M618">
        <f>IF(OR(L618="",L618=0),"",ROUND(100/L618,0))</f>
        <v/>
      </c>
      <c r="N618" t="inlineStr"/>
    </row>
    <row r="619">
      <c r="A619" t="n">
        <v>124</v>
      </c>
      <c r="B619" t="inlineStr">
        <is>
          <t>Hexe Sanctuary</t>
        </is>
      </c>
      <c r="C619" t="inlineStr">
        <is>
          <t>Crystallized Despair</t>
        </is>
      </c>
      <c r="D619" t="n">
        <v>5.869494</v>
      </c>
      <c r="E619" t="n">
        <v>11493</v>
      </c>
      <c r="F619" s="3" t="n">
        <v>0.5107016444792483</v>
      </c>
      <c r="G619" t="n">
        <v>1958</v>
      </c>
      <c r="H619" s="3" t="n">
        <v>0.5085455659991565</v>
      </c>
      <c r="I619" s="3" t="n">
        <v>0.5128646004652209</v>
      </c>
      <c r="J619" t="n">
        <v>215085.7</v>
      </c>
      <c r="K619">
        <f>IF(IFERROR(INDEX(Spots!$K$2:$K$96,MATCH(A619,Spots!$A$2:$A$96,0)),"")="","",IFERROR(INDEX(Spots!$K$2:$K$96,MATCH(A619,Spots!$A$2:$A$96,0)),""))</f>
        <v/>
      </c>
      <c r="L619" s="3">
        <f>IF(OR(K619="",F619=""),"",F619/1000*K619*100)</f>
        <v/>
      </c>
      <c r="M619">
        <f>IF(OR(L619="",L619=0),"",ROUND(100/L619,0))</f>
        <v/>
      </c>
      <c r="N619" t="inlineStr"/>
    </row>
    <row r="620">
      <c r="A620" t="n">
        <v>124</v>
      </c>
      <c r="B620" t="inlineStr">
        <is>
          <t>Hexe Sanctuary</t>
        </is>
      </c>
      <c r="C620" t="inlineStr">
        <is>
          <t>Scorching Sun Shard</t>
        </is>
      </c>
      <c r="D620" t="n">
        <v>1.392314</v>
      </c>
      <c r="E620" t="n">
        <v>11493</v>
      </c>
      <c r="F620" s="3" t="n">
        <v>0.1211445227529801</v>
      </c>
      <c r="G620" t="n">
        <v>8255</v>
      </c>
      <c r="H620" s="3" t="n">
        <v>0.1200955724169135</v>
      </c>
      <c r="I620" s="3" t="n">
        <v>0.1222003558717274</v>
      </c>
      <c r="J620" t="n">
        <v>51020.9</v>
      </c>
      <c r="K620">
        <f>IF(IFERROR(INDEX(Spots!$K$2:$K$96,MATCH(A620,Spots!$A$2:$A$96,0)),"")="","",IFERROR(INDEX(Spots!$K$2:$K$96,MATCH(A620,Spots!$A$2:$A$96,0)),""))</f>
        <v/>
      </c>
      <c r="L620" s="3">
        <f>IF(OR(K620="",F620=""),"",F620/1000*K620*100)</f>
        <v/>
      </c>
      <c r="M620">
        <f>IF(OR(L620="",L620=0),"",ROUND(100/L620,0))</f>
        <v/>
      </c>
      <c r="N620" t="inlineStr"/>
    </row>
    <row r="621">
      <c r="A621" t="n">
        <v>124</v>
      </c>
      <c r="B621" t="inlineStr">
        <is>
          <t>Hexe Sanctuary</t>
        </is>
      </c>
      <c r="C621" t="inlineStr">
        <is>
          <t>Mass of Pure Magic</t>
        </is>
      </c>
      <c r="D621" t="n">
        <v>1.304968</v>
      </c>
      <c r="E621" t="n">
        <v>11493</v>
      </c>
      <c r="F621" s="3" t="n">
        <v>0.1135445923605673</v>
      </c>
      <c r="G621" t="n">
        <v>8807</v>
      </c>
      <c r="H621" s="3" t="n">
        <v>0.1125291493429952</v>
      </c>
      <c r="I621" s="3" t="n">
        <v>0.1145669184993404</v>
      </c>
      <c r="J621" t="n">
        <v>47820.1</v>
      </c>
      <c r="K621">
        <f>IF(IFERROR(INDEX(Spots!$K$2:$K$96,MATCH(A621,Spots!$A$2:$A$96,0)),"")="","",IFERROR(INDEX(Spots!$K$2:$K$96,MATCH(A621,Spots!$A$2:$A$96,0)),""))</f>
        <v/>
      </c>
      <c r="L621" s="3">
        <f>IF(OR(K621="",F621=""),"",F621/1000*K621*100)</f>
        <v/>
      </c>
      <c r="M621">
        <f>IF(OR(L621="",L621=0),"",ROUND(100/L621,0))</f>
        <v/>
      </c>
      <c r="N621" t="inlineStr"/>
    </row>
    <row r="622">
      <c r="A622" t="n">
        <v>124</v>
      </c>
      <c r="B622" t="inlineStr">
        <is>
          <t>Hexe Sanctuary</t>
        </is>
      </c>
      <c r="C622" t="inlineStr">
        <is>
          <t>Black Distortion Earring</t>
        </is>
      </c>
      <c r="D622" t="n">
        <v>0.34130454</v>
      </c>
      <c r="E622" t="n">
        <v>11493</v>
      </c>
      <c r="F622" s="3" t="n">
        <v>0.02969673192377969</v>
      </c>
      <c r="G622" t="n">
        <v>33674</v>
      </c>
      <c r="H622" s="3" t="n">
        <v>0.02917852324838091</v>
      </c>
      <c r="I622" s="3" t="n">
        <v>0.03022183385657218</v>
      </c>
      <c r="J622" t="n">
        <v>12507</v>
      </c>
      <c r="K622">
        <f>IF(IFERROR(INDEX(Spots!$K$2:$K$96,MATCH(A622,Spots!$A$2:$A$96,0)),"")="","",IFERROR(INDEX(Spots!$K$2:$K$96,MATCH(A622,Spots!$A$2:$A$96,0)),""))</f>
        <v/>
      </c>
      <c r="L622" s="3">
        <f>IF(OR(K622="",F622=""),"",F622/1000*K622*100)</f>
        <v/>
      </c>
      <c r="M622">
        <f>IF(OR(L622="",L622=0),"",ROUND(100/L622,0))</f>
        <v/>
      </c>
      <c r="N622" t="inlineStr"/>
    </row>
    <row r="623">
      <c r="A623" t="n">
        <v>124</v>
      </c>
      <c r="B623" t="inlineStr">
        <is>
          <t>Hexe Sanctuary</t>
        </is>
      </c>
      <c r="C623" t="inlineStr">
        <is>
          <t>Ancient Spirit Light</t>
        </is>
      </c>
      <c r="D623" t="n">
        <v>0.22545335</v>
      </c>
      <c r="E623" t="n">
        <v>11493</v>
      </c>
      <c r="F623" s="3" t="n">
        <v>0.01961657965718263</v>
      </c>
      <c r="G623" t="n">
        <v>50977</v>
      </c>
      <c r="H623" s="3" t="n">
        <v>0.01919582773749369</v>
      </c>
      <c r="I623" s="3" t="n">
        <v>0.02004422960716025</v>
      </c>
      <c r="J623" t="n">
        <v>8261.700000000001</v>
      </c>
      <c r="K623">
        <f>IF(IFERROR(INDEX(Spots!$K$2:$K$96,MATCH(A623,Spots!$A$2:$A$96,0)),"")="","",IFERROR(INDEX(Spots!$K$2:$K$96,MATCH(A623,Spots!$A$2:$A$96,0)),""))</f>
        <v/>
      </c>
      <c r="L623" s="3">
        <f>IF(OR(K623="",F623=""),"",F623/1000*K623*100)</f>
        <v/>
      </c>
      <c r="M623">
        <f>IF(OR(L623="",L623=0),"",ROUND(100/L623,0))</f>
        <v/>
      </c>
      <c r="N623" t="inlineStr"/>
    </row>
    <row r="624">
      <c r="A624" t="n">
        <v>124</v>
      </c>
      <c r="B624" t="inlineStr">
        <is>
          <t>Hexe Sanctuary</t>
        </is>
      </c>
      <c r="C624" t="inlineStr">
        <is>
          <t>Blessed Soul Fragment</t>
        </is>
      </c>
      <c r="D624" t="n">
        <v>0.00016554</v>
      </c>
      <c r="E624" t="n">
        <v>11493</v>
      </c>
      <c r="F624" s="3" t="n">
        <v>1.440354998694858e-05</v>
      </c>
      <c r="G624" t="n">
        <v>69427329</v>
      </c>
      <c r="H624" s="3" t="n">
        <v>5.296294997965803e-06</v>
      </c>
      <c r="I624" s="3" t="n">
        <v>3.122563543004781e-05</v>
      </c>
      <c r="J624" t="n">
        <v>6.1</v>
      </c>
      <c r="K624">
        <f>IF(IFERROR(INDEX(Spots!$K$2:$K$96,MATCH(A624,Spots!$A$2:$A$96,0)),"")="","",IFERROR(INDEX(Spots!$K$2:$K$96,MATCH(A624,Spots!$A$2:$A$96,0)),""))</f>
        <v/>
      </c>
      <c r="L624" s="3">
        <f>IF(OR(K624="",F624=""),"",F624/1000*K624*100)</f>
        <v/>
      </c>
      <c r="M624">
        <f>IF(OR(L624="",L624=0),"",ROUND(100/L624,0))</f>
        <v/>
      </c>
      <c r="N624" t="inlineStr">
        <is>
          <t>low sample</t>
        </is>
      </c>
    </row>
    <row r="625">
      <c r="A625" t="n">
        <v>165</v>
      </c>
      <c r="B625" t="inlineStr">
        <is>
          <t>Honglim Base</t>
        </is>
      </c>
      <c r="C625" t="inlineStr">
        <is>
          <t>Black Stone</t>
        </is>
      </c>
      <c r="D625" t="n">
        <v>63.83</v>
      </c>
      <c r="E625" t="n">
        <v>11005</v>
      </c>
      <c r="F625" s="3" t="n">
        <v>5.800090867787369</v>
      </c>
      <c r="G625" t="n">
        <v>172</v>
      </c>
      <c r="H625" s="3" t="n">
        <v>5.703542992292634</v>
      </c>
      <c r="I625" s="3" t="n">
        <v>5.897863187754492</v>
      </c>
      <c r="J625" t="n">
        <v>13750</v>
      </c>
      <c r="K625">
        <f>IF(IFERROR(INDEX(Spots!$K$2:$K$96,MATCH(A625,Spots!$A$2:$A$96,0)),"")="","",IFERROR(INDEX(Spots!$K$2:$K$96,MATCH(A625,Spots!$A$2:$A$96,0)),""))</f>
        <v/>
      </c>
      <c r="L625" s="3">
        <f>IF(OR(K625="",F625=""),"",F625/1000*K625*100)</f>
        <v/>
      </c>
      <c r="M625">
        <f>IF(OR(L625="",L625=0),"",ROUND(100/L625,0))</f>
        <v/>
      </c>
      <c r="N625" t="inlineStr"/>
    </row>
    <row r="626">
      <c r="A626" t="n">
        <v>165</v>
      </c>
      <c r="B626" t="inlineStr">
        <is>
          <t>Honglim Base</t>
        </is>
      </c>
      <c r="C626" t="inlineStr">
        <is>
          <t>Ancient Spirit Dust</t>
        </is>
      </c>
      <c r="D626" t="n">
        <v>47.069</v>
      </c>
      <c r="E626" t="n">
        <v>11005</v>
      </c>
      <c r="F626" s="3" t="n">
        <v>4.277055883689232</v>
      </c>
      <c r="G626" t="n">
        <v>234</v>
      </c>
      <c r="H626" s="3" t="n">
        <v>4.194204243193574</v>
      </c>
      <c r="I626" s="3" t="n">
        <v>4.36113254630754</v>
      </c>
      <c r="J626" t="n">
        <v>10139.4</v>
      </c>
      <c r="K626">
        <f>IF(IFERROR(INDEX(Spots!$K$2:$K$96,MATCH(A626,Spots!$A$2:$A$96,0)),"")="","",IFERROR(INDEX(Spots!$K$2:$K$96,MATCH(A626,Spots!$A$2:$A$96,0)),""))</f>
        <v/>
      </c>
      <c r="L626" s="3">
        <f>IF(OR(K626="",F626=""),"",F626/1000*K626*100)</f>
        <v/>
      </c>
      <c r="M626">
        <f>IF(OR(L626="",L626=0),"",ROUND(100/L626,0))</f>
        <v/>
      </c>
      <c r="N626" t="inlineStr"/>
    </row>
    <row r="627">
      <c r="A627" t="n">
        <v>165</v>
      </c>
      <c r="B627" t="inlineStr">
        <is>
          <t>Honglim Base</t>
        </is>
      </c>
      <c r="C627" t="inlineStr">
        <is>
          <t>Caphras Stone</t>
        </is>
      </c>
      <c r="D627" t="n">
        <v>16.117</v>
      </c>
      <c r="E627" t="n">
        <v>11005</v>
      </c>
      <c r="F627" s="3" t="n">
        <v>1.464516129032258</v>
      </c>
      <c r="G627" t="n">
        <v>683</v>
      </c>
      <c r="H627" s="3" t="n">
        <v>1.416201141785302</v>
      </c>
      <c r="I627" s="3" t="n">
        <v>1.514059031732881</v>
      </c>
      <c r="J627" t="n">
        <v>3471.9</v>
      </c>
      <c r="K627">
        <f>IF(IFERROR(INDEX(Spots!$K$2:$K$96,MATCH(A627,Spots!$A$2:$A$96,0)),"")="","",IFERROR(INDEX(Spots!$K$2:$K$96,MATCH(A627,Spots!$A$2:$A$96,0)),""))</f>
        <v/>
      </c>
      <c r="L627" s="3">
        <f>IF(OR(K627="",F627=""),"",F627/1000*K627*100)</f>
        <v/>
      </c>
      <c r="M627">
        <f>IF(OR(L627="",L627=0),"",ROUND(100/L627,0))</f>
        <v/>
      </c>
      <c r="N627" t="inlineStr"/>
    </row>
    <row r="628">
      <c r="A628" t="n">
        <v>165</v>
      </c>
      <c r="B628" t="inlineStr">
        <is>
          <t>Honglim Base</t>
        </is>
      </c>
      <c r="C628" t="inlineStr">
        <is>
          <t>WON Dawn Crystal - All AP</t>
        </is>
      </c>
      <c r="D628" t="n">
        <v>1.602514</v>
      </c>
      <c r="E628" t="n">
        <v>11005</v>
      </c>
      <c r="F628" s="3" t="n">
        <v>0.1456169014084507</v>
      </c>
      <c r="G628" t="n">
        <v>6867</v>
      </c>
      <c r="H628" s="3" t="n">
        <v>0.1306586036527931</v>
      </c>
      <c r="I628" s="3" t="n">
        <v>0.1618181062596556</v>
      </c>
      <c r="J628" t="n">
        <v>345.2</v>
      </c>
      <c r="K628">
        <f>IF(IFERROR(INDEX(Spots!$K$2:$K$96,MATCH(A628,Spots!$A$2:$A$96,0)),"")="","",IFERROR(INDEX(Spots!$K$2:$K$96,MATCH(A628,Spots!$A$2:$A$96,0)),""))</f>
        <v/>
      </c>
      <c r="L628" s="3">
        <f>IF(OR(K628="",F628=""),"",F628/1000*K628*100)</f>
        <v/>
      </c>
      <c r="M628">
        <f>IF(OR(L628="",L628=0),"",ROUND(100/L628,0))</f>
        <v/>
      </c>
      <c r="N628" t="inlineStr"/>
    </row>
    <row r="629">
      <c r="A629" t="n">
        <v>165</v>
      </c>
      <c r="B629" t="inlineStr">
        <is>
          <t>Honglim Base</t>
        </is>
      </c>
      <c r="C629" t="inlineStr">
        <is>
          <t>WON Dawn Crystal - Black Spirit's Rage</t>
        </is>
      </c>
      <c r="D629" t="n">
        <v>0.14564769</v>
      </c>
      <c r="E629" t="n">
        <v>11005</v>
      </c>
      <c r="F629" s="3" t="n">
        <v>0.01323468332576102</v>
      </c>
      <c r="G629" t="n">
        <v>75559</v>
      </c>
      <c r="H629" s="3" t="n">
        <v>0.009013524110217311</v>
      </c>
      <c r="I629" s="3" t="n">
        <v>0.01874738440656888</v>
      </c>
      <c r="J629" t="n">
        <v>31.4</v>
      </c>
      <c r="K629">
        <f>IF(IFERROR(INDEX(Spots!$K$2:$K$96,MATCH(A629,Spots!$A$2:$A$96,0)),"")="","",IFERROR(INDEX(Spots!$K$2:$K$96,MATCH(A629,Spots!$A$2:$A$96,0)),""))</f>
        <v/>
      </c>
      <c r="L629" s="3">
        <f>IF(OR(K629="",F629=""),"",F629/1000*K629*100)</f>
        <v/>
      </c>
      <c r="M629">
        <f>IF(OR(L629="",L629=0),"",ROUND(100/L629,0))</f>
        <v/>
      </c>
      <c r="N629" t="inlineStr"/>
    </row>
    <row r="630">
      <c r="A630" t="n">
        <v>165</v>
      </c>
      <c r="B630" t="inlineStr">
        <is>
          <t>Honglim Base</t>
        </is>
      </c>
      <c r="C630" t="inlineStr">
        <is>
          <t>WON Dawn Crystal - Damage Reduction</t>
        </is>
      </c>
      <c r="D630" t="n">
        <v>0.14443512</v>
      </c>
      <c r="E630" t="n">
        <v>11005</v>
      </c>
      <c r="F630" s="3" t="n">
        <v>0.01312449977283053</v>
      </c>
      <c r="G630" t="n">
        <v>76193</v>
      </c>
      <c r="H630" s="3" t="n">
        <v>0.008922695183212571</v>
      </c>
      <c r="I630" s="3" t="n">
        <v>0.01861812731754148</v>
      </c>
      <c r="J630" t="n">
        <v>31.1</v>
      </c>
      <c r="K630">
        <f>IF(IFERROR(INDEX(Spots!$K$2:$K$96,MATCH(A630,Spots!$A$2:$A$96,0)),"")="","",IFERROR(INDEX(Spots!$K$2:$K$96,MATCH(A630,Spots!$A$2:$A$96,0)),""))</f>
        <v/>
      </c>
      <c r="L630" s="3">
        <f>IF(OR(K630="",F630=""),"",F630/1000*K630*100)</f>
        <v/>
      </c>
      <c r="M630">
        <f>IF(OR(L630="",L630=0),"",ROUND(100/L630,0))</f>
        <v/>
      </c>
      <c r="N630" t="inlineStr"/>
    </row>
    <row r="631">
      <c r="A631" t="n">
        <v>165</v>
      </c>
      <c r="B631" t="inlineStr">
        <is>
          <t>Honglim Base</t>
        </is>
      </c>
      <c r="C631" t="inlineStr">
        <is>
          <t>WON Dawn Crystal - Evasion</t>
        </is>
      </c>
      <c r="D631" t="n">
        <v>0.14094835</v>
      </c>
      <c r="E631" t="n">
        <v>11005</v>
      </c>
      <c r="F631" s="3" t="n">
        <v>0.01280766469786461</v>
      </c>
      <c r="G631" t="n">
        <v>78078</v>
      </c>
      <c r="H631" s="3" t="n">
        <v>0.00866197345149688</v>
      </c>
      <c r="I631" s="3" t="n">
        <v>0.01824600652441543</v>
      </c>
      <c r="J631" t="n">
        <v>30.4</v>
      </c>
      <c r="K631">
        <f>IF(IFERROR(INDEX(Spots!$K$2:$K$96,MATCH(A631,Spots!$A$2:$A$96,0)),"")="","",IFERROR(INDEX(Spots!$K$2:$K$96,MATCH(A631,Spots!$A$2:$A$96,0)),""))</f>
        <v/>
      </c>
      <c r="L631" s="3">
        <f>IF(OR(K631="",F631=""),"",F631/1000*K631*100)</f>
        <v/>
      </c>
      <c r="M631">
        <f>IF(OR(L631="",L631=0),"",ROUND(100/L631,0))</f>
        <v/>
      </c>
      <c r="N631" t="inlineStr"/>
    </row>
    <row r="632">
      <c r="A632" t="n">
        <v>165</v>
      </c>
      <c r="B632" t="inlineStr">
        <is>
          <t>Honglim Base</t>
        </is>
      </c>
      <c r="C632" t="inlineStr">
        <is>
          <t>WON Dawn Crystal - Accuracy</t>
        </is>
      </c>
      <c r="D632" t="n">
        <v>0.12790827</v>
      </c>
      <c r="E632" t="n">
        <v>11005</v>
      </c>
      <c r="F632" s="3" t="n">
        <v>0.01162274148114493</v>
      </c>
      <c r="G632" t="n">
        <v>86038</v>
      </c>
      <c r="H632" s="3" t="n">
        <v>0.007693341547338682</v>
      </c>
      <c r="I632" s="3" t="n">
        <v>0.01684816958289818</v>
      </c>
      <c r="J632" t="n">
        <v>27.6</v>
      </c>
      <c r="K632">
        <f>IF(IFERROR(INDEX(Spots!$K$2:$K$96,MATCH(A632,Spots!$A$2:$A$96,0)),"")="","",IFERROR(INDEX(Spots!$K$2:$K$96,MATCH(A632,Spots!$A$2:$A$96,0)),""))</f>
        <v/>
      </c>
      <c r="L632" s="3">
        <f>IF(OR(K632="",F632=""),"",F632/1000*K632*100)</f>
        <v/>
      </c>
      <c r="M632">
        <f>IF(OR(L632="",L632=0),"",ROUND(100/L632,0))</f>
        <v/>
      </c>
      <c r="N632" t="inlineStr">
        <is>
          <t>low sample</t>
        </is>
      </c>
    </row>
    <row r="633">
      <c r="A633" t="n">
        <v>165</v>
      </c>
      <c r="B633" t="inlineStr">
        <is>
          <t>Honglim Base</t>
        </is>
      </c>
      <c r="C633" t="inlineStr">
        <is>
          <t>BON Dawn Crystal - All AP</t>
        </is>
      </c>
      <c r="D633" t="n">
        <v>0.00783229</v>
      </c>
      <c r="E633" t="n">
        <v>11005</v>
      </c>
      <c r="F633" s="3" t="n">
        <v>0.0007117028623353022</v>
      </c>
      <c r="G633" t="n">
        <v>1405081</v>
      </c>
      <c r="H633" s="3" t="n">
        <v>5.704645448328279e-05</v>
      </c>
      <c r="I633" s="3" t="n">
        <v>0.002833780590337564</v>
      </c>
      <c r="J633" t="n">
        <v>1.7</v>
      </c>
      <c r="K633">
        <f>IF(IFERROR(INDEX(Spots!$K$2:$K$96,MATCH(A633,Spots!$A$2:$A$96,0)),"")="","",IFERROR(INDEX(Spots!$K$2:$K$96,MATCH(A633,Spots!$A$2:$A$96,0)),""))</f>
        <v/>
      </c>
      <c r="L633" s="3">
        <f>IF(OR(K633="",F633=""),"",F633/1000*K633*100)</f>
        <v/>
      </c>
      <c r="M633">
        <f>IF(OR(L633="",L633=0),"",ROUND(100/L633,0))</f>
        <v/>
      </c>
      <c r="N633" t="inlineStr">
        <is>
          <t>low sample</t>
        </is>
      </c>
    </row>
    <row r="634">
      <c r="A634" t="n">
        <v>165</v>
      </c>
      <c r="B634" t="inlineStr">
        <is>
          <t>Honglim Base</t>
        </is>
      </c>
      <c r="C634" t="inlineStr">
        <is>
          <t>BON Dawn Crystal - Damage Reduction</t>
        </is>
      </c>
      <c r="D634" t="n">
        <v>0.00741242</v>
      </c>
      <c r="E634" t="n">
        <v>11005</v>
      </c>
      <c r="F634" s="3" t="n">
        <v>0.0006735502044525216</v>
      </c>
      <c r="G634" t="n">
        <v>1484670</v>
      </c>
      <c r="H634" s="3" t="n">
        <v>4.758116090953354e-05</v>
      </c>
      <c r="I634" s="3" t="n">
        <v>0.002771468863255487</v>
      </c>
      <c r="J634" t="n">
        <v>1.6</v>
      </c>
      <c r="K634">
        <f>IF(IFERROR(INDEX(Spots!$K$2:$K$96,MATCH(A634,Spots!$A$2:$A$96,0)),"")="","",IFERROR(INDEX(Spots!$K$2:$K$96,MATCH(A634,Spots!$A$2:$A$96,0)),""))</f>
        <v/>
      </c>
      <c r="L634" s="3">
        <f>IF(OR(K634="",F634=""),"",F634/1000*K634*100)</f>
        <v/>
      </c>
      <c r="M634">
        <f>IF(OR(L634="",L634=0),"",ROUND(100/L634,0))</f>
        <v/>
      </c>
      <c r="N634" t="inlineStr">
        <is>
          <t>low sample</t>
        </is>
      </c>
    </row>
    <row r="635">
      <c r="A635" t="n">
        <v>165</v>
      </c>
      <c r="B635" t="inlineStr">
        <is>
          <t>Honglim Base</t>
        </is>
      </c>
      <c r="C635" t="inlineStr">
        <is>
          <t>BON Dawn Crystal - Black Spirit's Rage</t>
        </is>
      </c>
      <c r="D635" t="n">
        <v>0.00735508</v>
      </c>
      <c r="E635" t="n">
        <v>11005</v>
      </c>
      <c r="F635" s="3" t="n">
        <v>0.0006683398455247615</v>
      </c>
      <c r="G635" t="n">
        <v>1496245</v>
      </c>
      <c r="H635" s="3" t="n">
        <v>4.634341892493648e-05</v>
      </c>
      <c r="I635" s="3" t="n">
        <v>0.002762923130255041</v>
      </c>
      <c r="J635" t="n">
        <v>1.6</v>
      </c>
      <c r="K635">
        <f>IF(IFERROR(INDEX(Spots!$K$2:$K$96,MATCH(A635,Spots!$A$2:$A$96,0)),"")="","",IFERROR(INDEX(Spots!$K$2:$K$96,MATCH(A635,Spots!$A$2:$A$96,0)),""))</f>
        <v/>
      </c>
      <c r="L635" s="3">
        <f>IF(OR(K635="",F635=""),"",F635/1000*K635*100)</f>
        <v/>
      </c>
      <c r="M635">
        <f>IF(OR(L635="",L635=0),"",ROUND(100/L635,0))</f>
        <v/>
      </c>
      <c r="N635" t="inlineStr">
        <is>
          <t>low sample</t>
        </is>
      </c>
    </row>
    <row r="636">
      <c r="A636" t="n">
        <v>165</v>
      </c>
      <c r="B636" t="inlineStr">
        <is>
          <t>Honglim Base</t>
        </is>
      </c>
      <c r="C636" t="inlineStr">
        <is>
          <t>BON Dawn Crystal - Accuracy</t>
        </is>
      </c>
      <c r="D636" t="n">
        <v>0.00501215</v>
      </c>
      <c r="E636" t="n">
        <v>11005</v>
      </c>
      <c r="F636" s="3" t="n">
        <v>0.0004554429804634257</v>
      </c>
      <c r="G636" t="n">
        <v>2195665</v>
      </c>
      <c r="H636" s="3" t="n">
        <v>8.799502313158428e-06</v>
      </c>
      <c r="I636" s="3" t="n">
        <v>0.002405214262961776</v>
      </c>
      <c r="J636" t="n">
        <v>1.1</v>
      </c>
      <c r="K636">
        <f>IF(IFERROR(INDEX(Spots!$K$2:$K$96,MATCH(A636,Spots!$A$2:$A$96,0)),"")="","",IFERROR(INDEX(Spots!$K$2:$K$96,MATCH(A636,Spots!$A$2:$A$96,0)),""))</f>
        <v/>
      </c>
      <c r="L636" s="3">
        <f>IF(OR(K636="",F636=""),"",F636/1000*K636*100)</f>
        <v/>
      </c>
      <c r="M636">
        <f>IF(OR(L636="",L636=0),"",ROUND(100/L636,0))</f>
        <v/>
      </c>
      <c r="N636" t="inlineStr">
        <is>
          <t>low sample</t>
        </is>
      </c>
    </row>
    <row r="637">
      <c r="A637" t="n">
        <v>165</v>
      </c>
      <c r="B637" t="inlineStr">
        <is>
          <t>Honglim Base</t>
        </is>
      </c>
      <c r="C637" t="inlineStr">
        <is>
          <t>BON Dawn Crystal - Evasion</t>
        </is>
      </c>
      <c r="D637" t="n">
        <v>0.00396066</v>
      </c>
      <c r="E637" t="n">
        <v>11005</v>
      </c>
      <c r="F637" s="3" t="n">
        <v>0.000359896410722399</v>
      </c>
      <c r="G637" t="n">
        <v>2778577</v>
      </c>
      <c r="H637" s="3" t="n">
        <v>1.543110882599097e-06</v>
      </c>
      <c r="I637" s="3" t="n">
        <v>0.002238145803702379</v>
      </c>
      <c r="J637" t="n">
        <v>0.9</v>
      </c>
      <c r="K637">
        <f>IF(IFERROR(INDEX(Spots!$K$2:$K$96,MATCH(A637,Spots!$A$2:$A$96,0)),"")="","",IFERROR(INDEX(Spots!$K$2:$K$96,MATCH(A637,Spots!$A$2:$A$96,0)),""))</f>
        <v/>
      </c>
      <c r="L637" s="3">
        <f>IF(OR(K637="",F637=""),"",F637/1000*K637*100)</f>
        <v/>
      </c>
      <c r="M637">
        <f>IF(OR(L637="",L637=0),"",ROUND(100/L637,0))</f>
        <v/>
      </c>
      <c r="N637" t="inlineStr">
        <is>
          <t>low sample</t>
        </is>
      </c>
    </row>
    <row r="638">
      <c r="A638" t="n">
        <v>3</v>
      </c>
      <c r="B638" t="inlineStr">
        <is>
          <t>Hystria Ruins</t>
        </is>
      </c>
      <c r="C638" t="inlineStr">
        <is>
          <t>Black Stone</t>
        </is>
      </c>
      <c r="D638" t="n">
        <v>31.229</v>
      </c>
      <c r="E638" t="n">
        <v>4457.6</v>
      </c>
      <c r="F638" s="3" t="n">
        <v>7.005787867910983</v>
      </c>
      <c r="G638" t="n">
        <v>143</v>
      </c>
      <c r="H638" s="3" t="n">
        <v>6.81555001611798</v>
      </c>
      <c r="I638" s="3" t="n">
        <v>7.199989519005999</v>
      </c>
      <c r="J638" t="n">
        <v>5139.8</v>
      </c>
      <c r="K638">
        <f>IF(IFERROR(INDEX(Spots!$K$2:$K$96,MATCH(A638,Spots!$A$2:$A$96,0)),"")="","",IFERROR(INDEX(Spots!$K$2:$K$96,MATCH(A638,Spots!$A$2:$A$96,0)),""))</f>
        <v/>
      </c>
      <c r="L638" s="3">
        <f>IF(OR(K638="",F638=""),"",F638/1000*K638*100)</f>
        <v/>
      </c>
      <c r="M638">
        <f>IF(OR(L638="",L638=0),"",ROUND(100/L638,0))</f>
        <v/>
      </c>
      <c r="N638" t="inlineStr"/>
    </row>
    <row r="639">
      <c r="A639" t="n">
        <v>3</v>
      </c>
      <c r="B639" t="inlineStr">
        <is>
          <t>Hystria Ruins</t>
        </is>
      </c>
      <c r="C639" t="inlineStr">
        <is>
          <t>Caphras Stone</t>
        </is>
      </c>
      <c r="D639" t="n">
        <v>10.33</v>
      </c>
      <c r="E639" t="n">
        <v>4457.6</v>
      </c>
      <c r="F639" s="3" t="n">
        <v>2.317390524048816</v>
      </c>
      <c r="G639" t="n">
        <v>432</v>
      </c>
      <c r="H639" s="3" t="n">
        <v>2.208529675461881</v>
      </c>
      <c r="I639" s="3" t="n">
        <v>2.430228820440457</v>
      </c>
      <c r="J639" t="n">
        <v>1700.1</v>
      </c>
      <c r="K639">
        <f>IF(IFERROR(INDEX(Spots!$K$2:$K$96,MATCH(A639,Spots!$A$2:$A$96,0)),"")="","",IFERROR(INDEX(Spots!$K$2:$K$96,MATCH(A639,Spots!$A$2:$A$96,0)),""))</f>
        <v/>
      </c>
      <c r="L639" s="3">
        <f>IF(OR(K639="",F639=""),"",F639/1000*K639*100)</f>
        <v/>
      </c>
      <c r="M639">
        <f>IF(OR(L639="",L639=0),"",ROUND(100/L639,0))</f>
        <v/>
      </c>
      <c r="N639" t="inlineStr"/>
    </row>
    <row r="640">
      <c r="A640" t="n">
        <v>3</v>
      </c>
      <c r="B640" t="inlineStr">
        <is>
          <t>Hystria Ruins</t>
        </is>
      </c>
      <c r="C640" t="inlineStr">
        <is>
          <t>Scroll Written in Ancient Language</t>
        </is>
      </c>
      <c r="D640" t="n">
        <v>9.971209999999999</v>
      </c>
      <c r="E640" t="n">
        <v>4457.6</v>
      </c>
      <c r="F640" s="3" t="n">
        <v>2.236901022972003</v>
      </c>
      <c r="G640" t="n">
        <v>447</v>
      </c>
      <c r="H640" s="3" t="n">
        <v>2.129970201780572</v>
      </c>
      <c r="I640" s="3" t="n">
        <v>2.347809863424429</v>
      </c>
      <c r="J640" t="n">
        <v>1641.1</v>
      </c>
      <c r="K640">
        <f>IF(IFERROR(INDEX(Spots!$K$2:$K$96,MATCH(A640,Spots!$A$2:$A$96,0)),"")="","",IFERROR(INDEX(Spots!$K$2:$K$96,MATCH(A640,Spots!$A$2:$A$96,0)),""))</f>
        <v/>
      </c>
      <c r="L640" s="3">
        <f>IF(OR(K640="",F640=""),"",F640/1000*K640*100)</f>
        <v/>
      </c>
      <c r="M640">
        <f>IF(OR(L640="",L640=0),"",ROUND(100/L640,0))</f>
        <v/>
      </c>
      <c r="N640" t="inlineStr"/>
    </row>
    <row r="641">
      <c r="A641" t="n">
        <v>3</v>
      </c>
      <c r="B641" t="inlineStr">
        <is>
          <t>Hystria Ruins</t>
        </is>
      </c>
      <c r="C641" t="inlineStr">
        <is>
          <t>Sealed Black Magic Crystal</t>
        </is>
      </c>
      <c r="D641" t="n">
        <v>2.572619</v>
      </c>
      <c r="E641" t="n">
        <v>4457.6</v>
      </c>
      <c r="F641" s="3" t="n">
        <v>0.5771309673366833</v>
      </c>
      <c r="G641" t="n">
        <v>1733</v>
      </c>
      <c r="H641" s="3" t="n">
        <v>0.5234590444286994</v>
      </c>
      <c r="I641" s="3" t="n">
        <v>0.634812327755063</v>
      </c>
      <c r="J641" t="n">
        <v>423.4</v>
      </c>
      <c r="K641">
        <f>IF(IFERROR(INDEX(Spots!$K$2:$K$96,MATCH(A641,Spots!$A$2:$A$96,0)),"")="","",IFERROR(INDEX(Spots!$K$2:$K$96,MATCH(A641,Spots!$A$2:$A$96,0)),""))</f>
        <v/>
      </c>
      <c r="L641" s="3">
        <f>IF(OR(K641="",F641=""),"",F641/1000*K641*100)</f>
        <v/>
      </c>
      <c r="M641">
        <f>IF(OR(L641="",L641=0),"",ROUND(100/L641,0))</f>
        <v/>
      </c>
      <c r="N641" t="inlineStr"/>
    </row>
    <row r="642">
      <c r="A642" t="n">
        <v>3</v>
      </c>
      <c r="B642" t="inlineStr">
        <is>
          <t>Hystria Ruins</t>
        </is>
      </c>
      <c r="C642" t="inlineStr">
        <is>
          <t>Ancient Spirit Dust</t>
        </is>
      </c>
      <c r="D642" t="n">
        <v>2.065558</v>
      </c>
      <c r="E642" t="n">
        <v>4457.6</v>
      </c>
      <c r="F642" s="3" t="n">
        <v>0.4633789483129935</v>
      </c>
      <c r="G642" t="n">
        <v>2158</v>
      </c>
      <c r="H642" s="3" t="n">
        <v>0.4154227383444616</v>
      </c>
      <c r="I642" s="3" t="n">
        <v>0.5153519508971173</v>
      </c>
      <c r="J642" t="n">
        <v>340</v>
      </c>
      <c r="K642">
        <f>IF(IFERROR(INDEX(Spots!$K$2:$K$96,MATCH(A642,Spots!$A$2:$A$96,0)),"")="","",IFERROR(INDEX(Spots!$K$2:$K$96,MATCH(A642,Spots!$A$2:$A$96,0)),""))</f>
        <v/>
      </c>
      <c r="L642" s="3">
        <f>IF(OR(K642="",F642=""),"",F642/1000*K642*100)</f>
        <v/>
      </c>
      <c r="M642">
        <f>IF(OR(L642="",L642=0),"",ROUND(100/L642,0))</f>
        <v/>
      </c>
      <c r="N642" t="inlineStr"/>
    </row>
    <row r="643">
      <c r="A643" t="n">
        <v>3</v>
      </c>
      <c r="B643" t="inlineStr">
        <is>
          <t>Hystria Ruins</t>
        </is>
      </c>
      <c r="C643" t="inlineStr">
        <is>
          <t>Mass of Pure Magic</t>
        </is>
      </c>
      <c r="D643" t="n">
        <v>1.243322</v>
      </c>
      <c r="E643" t="n">
        <v>4457.6</v>
      </c>
      <c r="F643" s="3" t="n">
        <v>0.2789218413496052</v>
      </c>
      <c r="G643" t="n">
        <v>3585</v>
      </c>
      <c r="H643" s="3" t="n">
        <v>0.2420103840079347</v>
      </c>
      <c r="I643" s="3" t="n">
        <v>0.3198704259068519</v>
      </c>
      <c r="J643" t="n">
        <v>204.6</v>
      </c>
      <c r="K643">
        <f>IF(IFERROR(INDEX(Spots!$K$2:$K$96,MATCH(A643,Spots!$A$2:$A$96,0)),"")="","",IFERROR(INDEX(Spots!$K$2:$K$96,MATCH(A643,Spots!$A$2:$A$96,0)),""))</f>
        <v/>
      </c>
      <c r="L643" s="3">
        <f>IF(OR(K643="",F643=""),"",F643/1000*K643*100)</f>
        <v/>
      </c>
      <c r="M643">
        <f>IF(OR(L643="",L643=0),"",ROUND(100/L643,0))</f>
        <v/>
      </c>
      <c r="N643" t="inlineStr"/>
    </row>
    <row r="644">
      <c r="A644" t="n">
        <v>3</v>
      </c>
      <c r="B644" t="inlineStr">
        <is>
          <t>Hystria Ruins</t>
        </is>
      </c>
      <c r="C644" t="inlineStr">
        <is>
          <t>Traveler's Map</t>
        </is>
      </c>
      <c r="D644" t="n">
        <v>0.79586449</v>
      </c>
      <c r="E644" t="n">
        <v>4457.6</v>
      </c>
      <c r="F644" s="3" t="n">
        <v>0.178541028804738</v>
      </c>
      <c r="G644" t="n">
        <v>5601</v>
      </c>
      <c r="H644" s="3" t="n">
        <v>0.1492735903464983</v>
      </c>
      <c r="I644" s="3" t="n">
        <v>0.2118680720301789</v>
      </c>
      <c r="J644" t="n">
        <v>131</v>
      </c>
      <c r="K644">
        <f>IF(IFERROR(INDEX(Spots!$K$2:$K$96,MATCH(A644,Spots!$A$2:$A$96,0)),"")="","",IFERROR(INDEX(Spots!$K$2:$K$96,MATCH(A644,Spots!$A$2:$A$96,0)),""))</f>
        <v/>
      </c>
      <c r="L644" s="3">
        <f>IF(OR(K644="",F644=""),"",F644/1000*K644*100)</f>
        <v/>
      </c>
      <c r="M644">
        <f>IF(OR(L644="",L644=0),"",ROUND(100/L644,0))</f>
        <v/>
      </c>
      <c r="N644" t="inlineStr"/>
    </row>
    <row r="645">
      <c r="A645" t="n">
        <v>3</v>
      </c>
      <c r="B645" t="inlineStr">
        <is>
          <t>Hystria Ruins</t>
        </is>
      </c>
      <c r="C645" t="inlineStr">
        <is>
          <t>Imperfect Lightstone of Earth</t>
        </is>
      </c>
      <c r="D645" t="n">
        <v>0.35392053</v>
      </c>
      <c r="E645" t="n">
        <v>4457.6</v>
      </c>
      <c r="F645" s="3" t="n">
        <v>0.07939710382268485</v>
      </c>
      <c r="G645" t="n">
        <v>12595</v>
      </c>
      <c r="H645" s="3" t="n">
        <v>0.0603237417726784</v>
      </c>
      <c r="I645" s="3" t="n">
        <v>0.1025853170124669</v>
      </c>
      <c r="J645" t="n">
        <v>58.2</v>
      </c>
      <c r="K645">
        <f>IF(IFERROR(INDEX(Spots!$K$2:$K$96,MATCH(A645,Spots!$A$2:$A$96,0)),"")="","",IFERROR(INDEX(Spots!$K$2:$K$96,MATCH(A645,Spots!$A$2:$A$96,0)),""))</f>
        <v/>
      </c>
      <c r="L645" s="3">
        <f>IF(OR(K645="",F645=""),"",F645/1000*K645*100)</f>
        <v/>
      </c>
      <c r="M645">
        <f>IF(OR(L645="",L645=0),"",ROUND(100/L645,0))</f>
        <v/>
      </c>
      <c r="N645" t="inlineStr"/>
    </row>
    <row r="646">
      <c r="A646" t="n">
        <v>3</v>
      </c>
      <c r="B646" t="inlineStr">
        <is>
          <t>Hystria Ruins</t>
        </is>
      </c>
      <c r="C646" t="inlineStr">
        <is>
          <t>Tungrad Necklace</t>
        </is>
      </c>
      <c r="D646" t="n">
        <v>0.23346905</v>
      </c>
      <c r="E646" t="n">
        <v>4457.6</v>
      </c>
      <c r="F646" s="3" t="n">
        <v>0.05237550475592247</v>
      </c>
      <c r="G646" t="n">
        <v>19093</v>
      </c>
      <c r="H646" s="3" t="n">
        <v>0.03713654519703636</v>
      </c>
      <c r="I646" s="3" t="n">
        <v>0.07176685590801281</v>
      </c>
      <c r="J646" t="n">
        <v>38.4</v>
      </c>
      <c r="K646">
        <f>IF(IFERROR(INDEX(Spots!$K$2:$K$96,MATCH(A646,Spots!$A$2:$A$96,0)),"")="","",IFERROR(INDEX(Spots!$K$2:$K$96,MATCH(A646,Spots!$A$2:$A$96,0)),""))</f>
        <v/>
      </c>
      <c r="L646" s="3">
        <f>IF(OR(K646="",F646=""),"",F646/1000*K646*100)</f>
        <v/>
      </c>
      <c r="M646">
        <f>IF(OR(L646="",L646=0),"",ROUND(100/L646,0))</f>
        <v/>
      </c>
      <c r="N646" t="inlineStr"/>
    </row>
    <row r="647">
      <c r="A647" t="n">
        <v>3</v>
      </c>
      <c r="B647" t="inlineStr">
        <is>
          <t>Hystria Ruins</t>
        </is>
      </c>
      <c r="C647" t="inlineStr">
        <is>
          <t>Watch Tower Activation Device</t>
        </is>
      </c>
      <c r="D647" t="n">
        <v>0.22507566</v>
      </c>
      <c r="E647" t="n">
        <v>4457.6</v>
      </c>
      <c r="F647" s="3" t="n">
        <v>0.05049256550610194</v>
      </c>
      <c r="G647" t="n">
        <v>19805</v>
      </c>
      <c r="H647" s="3" t="n">
        <v>0.03555450355005692</v>
      </c>
      <c r="I647" s="3" t="n">
        <v>0.06958667531157861</v>
      </c>
      <c r="J647" t="n">
        <v>37</v>
      </c>
      <c r="K647">
        <f>IF(IFERROR(INDEX(Spots!$K$2:$K$96,MATCH(A647,Spots!$A$2:$A$96,0)),"")="","",IFERROR(INDEX(Spots!$K$2:$K$96,MATCH(A647,Spots!$A$2:$A$96,0)),""))</f>
        <v/>
      </c>
      <c r="L647" s="3">
        <f>IF(OR(K647="",F647=""),"",F647/1000*K647*100)</f>
        <v/>
      </c>
      <c r="M647">
        <f>IF(OR(L647="",L647=0),"",ROUND(100/L647,0))</f>
        <v/>
      </c>
      <c r="N647" t="inlineStr"/>
    </row>
    <row r="648">
      <c r="A648" t="n">
        <v>3</v>
      </c>
      <c r="B648" t="inlineStr">
        <is>
          <t>Hystria Ruins</t>
        </is>
      </c>
      <c r="C648" t="inlineStr">
        <is>
          <t>Tungrad Earring</t>
        </is>
      </c>
      <c r="D648" t="n">
        <v>0.21949145</v>
      </c>
      <c r="E648" t="n">
        <v>4457.6</v>
      </c>
      <c r="F648" s="3" t="n">
        <v>0.04923982636396267</v>
      </c>
      <c r="G648" t="n">
        <v>20309</v>
      </c>
      <c r="H648" s="3" t="n">
        <v>0.03450508163319655</v>
      </c>
      <c r="I648" s="3" t="n">
        <v>0.06813316287852467</v>
      </c>
      <c r="J648" t="n">
        <v>36.1</v>
      </c>
      <c r="K648">
        <f>IF(IFERROR(INDEX(Spots!$K$2:$K$96,MATCH(A648,Spots!$A$2:$A$96,0)),"")="","",IFERROR(INDEX(Spots!$K$2:$K$96,MATCH(A648,Spots!$A$2:$A$96,0)),""))</f>
        <v/>
      </c>
      <c r="L648" s="3">
        <f>IF(OR(K648="",F648=""),"",F648/1000*K648*100)</f>
        <v/>
      </c>
      <c r="M648">
        <f>IF(OR(L648="",L648=0),"",ROUND(100/L648,0))</f>
        <v/>
      </c>
      <c r="N648" t="inlineStr"/>
    </row>
    <row r="649">
      <c r="A649" t="n">
        <v>3</v>
      </c>
      <c r="B649" t="inlineStr">
        <is>
          <t>Hystria Ruins</t>
        </is>
      </c>
      <c r="C649" t="inlineStr">
        <is>
          <t>Part for Explorer's Compass</t>
        </is>
      </c>
      <c r="D649" t="n">
        <v>0.17629303</v>
      </c>
      <c r="E649" t="n">
        <v>4457.6</v>
      </c>
      <c r="F649" s="3" t="n">
        <v>0.03954886710337401</v>
      </c>
      <c r="G649" t="n">
        <v>25285</v>
      </c>
      <c r="H649" s="3" t="n">
        <v>0.02648381909938482</v>
      </c>
      <c r="I649" s="3" t="n">
        <v>0.05679595242819541</v>
      </c>
      <c r="J649" t="n">
        <v>29</v>
      </c>
      <c r="K649">
        <f>IF(IFERROR(INDEX(Spots!$K$2:$K$96,MATCH(A649,Spots!$A$2:$A$96,0)),"")="","",IFERROR(INDEX(Spots!$K$2:$K$96,MATCH(A649,Spots!$A$2:$A$96,0)),""))</f>
        <v/>
      </c>
      <c r="L649" s="3">
        <f>IF(OR(K649="",F649=""),"",F649/1000*K649*100)</f>
        <v/>
      </c>
      <c r="M649">
        <f>IF(OR(L649="",L649=0),"",ROUND(100/L649,0))</f>
        <v/>
      </c>
      <c r="N649" t="inlineStr">
        <is>
          <t>low sample</t>
        </is>
      </c>
    </row>
    <row r="650">
      <c r="A650" t="n">
        <v>3</v>
      </c>
      <c r="B650" t="inlineStr">
        <is>
          <t>Hystria Ruins</t>
        </is>
      </c>
      <c r="C650" t="inlineStr">
        <is>
          <t>Imperfect Lightstone of Fire</t>
        </is>
      </c>
      <c r="D650" t="n">
        <v>0.07177507</v>
      </c>
      <c r="E650" t="n">
        <v>4457.6</v>
      </c>
      <c r="F650" s="3" t="n">
        <v>0.01610172963029433</v>
      </c>
      <c r="G650" t="n">
        <v>62105</v>
      </c>
      <c r="H650" s="3" t="n">
        <v>0.008259738192721361</v>
      </c>
      <c r="I650" s="3" t="n">
        <v>0.02824871710698463</v>
      </c>
      <c r="J650" t="n">
        <v>11.8</v>
      </c>
      <c r="K650">
        <f>IF(IFERROR(INDEX(Spots!$K$2:$K$96,MATCH(A650,Spots!$A$2:$A$96,0)),"")="","",IFERROR(INDEX(Spots!$K$2:$K$96,MATCH(A650,Spots!$A$2:$A$96,0)),""))</f>
        <v/>
      </c>
      <c r="L650" s="3">
        <f>IF(OR(K650="",F650=""),"",F650/1000*K650*100)</f>
        <v/>
      </c>
      <c r="M650">
        <f>IF(OR(L650="",L650=0),"",ROUND(100/L650,0))</f>
        <v/>
      </c>
      <c r="N650" t="inlineStr">
        <is>
          <t>low sample</t>
        </is>
      </c>
    </row>
    <row r="651">
      <c r="A651" t="n">
        <v>3</v>
      </c>
      <c r="B651" t="inlineStr">
        <is>
          <t>Hystria Ruins</t>
        </is>
      </c>
      <c r="C651" t="inlineStr">
        <is>
          <t>Imperfect Lightstone of Wind</t>
        </is>
      </c>
      <c r="D651" t="n">
        <v>0.0562346</v>
      </c>
      <c r="E651" t="n">
        <v>4457.6</v>
      </c>
      <c r="F651" s="3" t="n">
        <v>0.01261544328786791</v>
      </c>
      <c r="G651" t="n">
        <v>79268</v>
      </c>
      <c r="H651" s="3" t="n">
        <v>0.005832407299628263</v>
      </c>
      <c r="I651" s="3" t="n">
        <v>0.02374533941119699</v>
      </c>
      <c r="J651" t="n">
        <v>9.300000000000001</v>
      </c>
      <c r="K651">
        <f>IF(IFERROR(INDEX(Spots!$K$2:$K$96,MATCH(A651,Spots!$A$2:$A$96,0)),"")="","",IFERROR(INDEX(Spots!$K$2:$K$96,MATCH(A651,Spots!$A$2:$A$96,0)),""))</f>
        <v/>
      </c>
      <c r="L651" s="3">
        <f>IF(OR(K651="",F651=""),"",F651/1000*K651*100)</f>
        <v/>
      </c>
      <c r="M651">
        <f>IF(OR(L651="",L651=0),"",ROUND(100/L651,0))</f>
        <v/>
      </c>
      <c r="N651" t="inlineStr">
        <is>
          <t>low sample</t>
        </is>
      </c>
    </row>
    <row r="652">
      <c r="A652" t="n">
        <v>3</v>
      </c>
      <c r="B652" t="inlineStr">
        <is>
          <t>Hystria Ruins</t>
        </is>
      </c>
      <c r="C652" t="inlineStr">
        <is>
          <t>Hystria Ruins Paint</t>
        </is>
      </c>
      <c r="D652" t="n">
        <v>0.03936908</v>
      </c>
      <c r="E652" t="n">
        <v>4457.6</v>
      </c>
      <c r="F652" s="3" t="n">
        <v>0.008831900574300071</v>
      </c>
      <c r="G652" t="n">
        <v>113226</v>
      </c>
      <c r="H652" s="3" t="n">
        <v>0.003382220475300567</v>
      </c>
      <c r="I652" s="3" t="n">
        <v>0.01869677786525934</v>
      </c>
      <c r="J652" t="n">
        <v>6.5</v>
      </c>
      <c r="K652">
        <f>IF(IFERROR(INDEX(Spots!$K$2:$K$96,MATCH(A652,Spots!$A$2:$A$96,0)),"")="","",IFERROR(INDEX(Spots!$K$2:$K$96,MATCH(A652,Spots!$A$2:$A$96,0)),""))</f>
        <v/>
      </c>
      <c r="L652" s="3">
        <f>IF(OR(K652="",F652=""),"",F652/1000*K652*100)</f>
        <v/>
      </c>
      <c r="M652">
        <f>IF(OR(L652="",L652=0),"",ROUND(100/L652,0))</f>
        <v/>
      </c>
      <c r="N652" t="inlineStr">
        <is>
          <t>low sample</t>
        </is>
      </c>
    </row>
    <row r="653">
      <c r="A653" t="n">
        <v>3</v>
      </c>
      <c r="B653" t="inlineStr">
        <is>
          <t>Hystria Ruins</t>
        </is>
      </c>
      <c r="C653" t="inlineStr">
        <is>
          <t>Any Artifact</t>
        </is>
      </c>
      <c r="D653" t="n">
        <v>0.02086901</v>
      </c>
      <c r="E653" t="n">
        <v>4457.6</v>
      </c>
      <c r="F653" s="3" t="n">
        <v>0.004681669508255563</v>
      </c>
      <c r="G653" t="n">
        <v>213599</v>
      </c>
      <c r="H653" s="3" t="n">
        <v>0.001089656965660072</v>
      </c>
      <c r="I653" s="3" t="n">
        <v>0.01283149506269184</v>
      </c>
      <c r="J653" t="n">
        <v>3.4</v>
      </c>
      <c r="K653">
        <f>IF(IFERROR(INDEX(Spots!$K$2:$K$96,MATCH(A653,Spots!$A$2:$A$96,0)),"")="","",IFERROR(INDEX(Spots!$K$2:$K$96,MATCH(A653,Spots!$A$2:$A$96,0)),""))</f>
        <v/>
      </c>
      <c r="L653" s="3">
        <f>IF(OR(K653="",F653=""),"",F653/1000*K653*100)</f>
        <v/>
      </c>
      <c r="M653">
        <f>IF(OR(L653="",L653=0),"",ROUND(100/L653,0))</f>
        <v/>
      </c>
      <c r="N653" t="inlineStr">
        <is>
          <t>low sample</t>
        </is>
      </c>
    </row>
    <row r="654">
      <c r="A654" t="n">
        <v>3</v>
      </c>
      <c r="B654" t="inlineStr">
        <is>
          <t>Hystria Ruins</t>
        </is>
      </c>
      <c r="C654" t="inlineStr">
        <is>
          <t>Pure Forest Breath</t>
        </is>
      </c>
      <c r="D654" t="n">
        <v>0.01654787</v>
      </c>
      <c r="E654" t="n">
        <v>4457.6</v>
      </c>
      <c r="F654" s="3" t="n">
        <v>0.003712282394113424</v>
      </c>
      <c r="G654" t="n">
        <v>269376</v>
      </c>
      <c r="H654" s="3" t="n">
        <v>0.0006635869367279595</v>
      </c>
      <c r="I654" s="3" t="n">
        <v>0.01137686606296149</v>
      </c>
      <c r="J654" t="n">
        <v>2.7</v>
      </c>
      <c r="K654">
        <f>IF(IFERROR(INDEX(Spots!$K$2:$K$96,MATCH(A654,Spots!$A$2:$A$96,0)),"")="","",IFERROR(INDEX(Spots!$K$2:$K$96,MATCH(A654,Spots!$A$2:$A$96,0)),""))</f>
        <v/>
      </c>
      <c r="L654" s="3">
        <f>IF(OR(K654="",F654=""),"",F654/1000*K654*100)</f>
        <v/>
      </c>
      <c r="M654">
        <f>IF(OR(L654="",L654=0),"",ROUND(100/L654,0))</f>
        <v/>
      </c>
      <c r="N654" t="inlineStr">
        <is>
          <t>low sample</t>
        </is>
      </c>
    </row>
    <row r="655">
      <c r="A655" t="n">
        <v>110</v>
      </c>
      <c r="B655" t="inlineStr">
        <is>
          <t>Jade Starlight Forest</t>
        </is>
      </c>
      <c r="C655" t="inlineStr">
        <is>
          <t>Ancient Spirit Dust</t>
        </is>
      </c>
      <c r="D655" t="n">
        <v>46.036</v>
      </c>
      <c r="E655" t="n">
        <v>9588</v>
      </c>
      <c r="F655" s="3" t="n">
        <v>4.801418439716312</v>
      </c>
      <c r="G655" t="n">
        <v>208</v>
      </c>
      <c r="H655" s="3" t="n">
        <v>4.773423050095374</v>
      </c>
      <c r="I655" s="3" t="n">
        <v>4.829537293089764</v>
      </c>
      <c r="J655" t="n">
        <v>112674.6</v>
      </c>
      <c r="K655">
        <f>IF(IFERROR(INDEX(Spots!$K$2:$K$96,MATCH(A655,Spots!$A$2:$A$96,0)),"")="","",IFERROR(INDEX(Spots!$K$2:$K$96,MATCH(A655,Spots!$A$2:$A$96,0)),""))</f>
        <v/>
      </c>
      <c r="L655" s="3">
        <f>IF(OR(K655="",F655=""),"",F655/1000*K655*100)</f>
        <v/>
      </c>
      <c r="M655">
        <f>IF(OR(L655="",L655=0),"",ROUND(100/L655,0))</f>
        <v/>
      </c>
      <c r="N655" t="inlineStr"/>
    </row>
    <row r="656">
      <c r="A656" t="n">
        <v>110</v>
      </c>
      <c r="B656" t="inlineStr">
        <is>
          <t>Jade Starlight Forest</t>
        </is>
      </c>
      <c r="C656" t="inlineStr">
        <is>
          <t>Black Stone</t>
        </is>
      </c>
      <c r="D656" t="n">
        <v>33.091</v>
      </c>
      <c r="E656" t="n">
        <v>9588</v>
      </c>
      <c r="F656" s="3" t="n">
        <v>3.451293283270755</v>
      </c>
      <c r="G656" t="n">
        <v>290</v>
      </c>
      <c r="H656" s="3" t="n">
        <v>3.4275642443758</v>
      </c>
      <c r="I656" s="3" t="n">
        <v>3.475145808217228</v>
      </c>
      <c r="J656" t="n">
        <v>80991.3</v>
      </c>
      <c r="K656">
        <f>IF(IFERROR(INDEX(Spots!$K$2:$K$96,MATCH(A656,Spots!$A$2:$A$96,0)),"")="","",IFERROR(INDEX(Spots!$K$2:$K$96,MATCH(A656,Spots!$A$2:$A$96,0)),""))</f>
        <v/>
      </c>
      <c r="L656" s="3">
        <f>IF(OR(K656="",F656=""),"",F656/1000*K656*100)</f>
        <v/>
      </c>
      <c r="M656">
        <f>IF(OR(L656="",L656=0),"",ROUND(100/L656,0))</f>
        <v/>
      </c>
      <c r="N656" t="inlineStr"/>
    </row>
    <row r="657">
      <c r="A657" t="n">
        <v>110</v>
      </c>
      <c r="B657" t="inlineStr">
        <is>
          <t>Jade Starlight Forest</t>
        </is>
      </c>
      <c r="C657" t="inlineStr">
        <is>
          <t>Caphras Stone</t>
        </is>
      </c>
      <c r="D657" t="n">
        <v>15.596</v>
      </c>
      <c r="E657" t="n">
        <v>9588</v>
      </c>
      <c r="F657" s="3" t="n">
        <v>1.626616604088444</v>
      </c>
      <c r="G657" t="n">
        <v>615</v>
      </c>
      <c r="H657" s="3" t="n">
        <v>1.610338872685726</v>
      </c>
      <c r="I657" s="3" t="n">
        <v>1.643017888423498</v>
      </c>
      <c r="J657" t="n">
        <v>38171.7</v>
      </c>
      <c r="K657">
        <f>IF(IFERROR(INDEX(Spots!$K$2:$K$96,MATCH(A657,Spots!$A$2:$A$96,0)),"")="","",IFERROR(INDEX(Spots!$K$2:$K$96,MATCH(A657,Spots!$A$2:$A$96,0)),""))</f>
        <v/>
      </c>
      <c r="L657" s="3">
        <f>IF(OR(K657="",F657=""),"",F657/1000*K657*100)</f>
        <v/>
      </c>
      <c r="M657">
        <f>IF(OR(L657="",L657=0),"",ROUND(100/L657,0))</f>
        <v/>
      </c>
      <c r="N657" t="inlineStr"/>
    </row>
    <row r="658">
      <c r="A658" t="n">
        <v>110</v>
      </c>
      <c r="B658" t="inlineStr">
        <is>
          <t>Jade Starlight Forest</t>
        </is>
      </c>
      <c r="C658" t="inlineStr">
        <is>
          <t>Starlit Jade's Breath</t>
        </is>
      </c>
      <c r="D658" t="n">
        <v>4.51372</v>
      </c>
      <c r="E658" t="n">
        <v>9588</v>
      </c>
      <c r="F658" s="3" t="n">
        <v>0.470767626199416</v>
      </c>
      <c r="G658" t="n">
        <v>2124</v>
      </c>
      <c r="H658" s="3" t="n">
        <v>0.4620293355271602</v>
      </c>
      <c r="I658" s="3" t="n">
        <v>0.4796296527933041</v>
      </c>
      <c r="J658" t="n">
        <v>11047.5</v>
      </c>
      <c r="K658">
        <f>IF(IFERROR(INDEX(Spots!$K$2:$K$96,MATCH(A658,Spots!$A$2:$A$96,0)),"")="","",IFERROR(INDEX(Spots!$K$2:$K$96,MATCH(A658,Spots!$A$2:$A$96,0)),""))</f>
        <v/>
      </c>
      <c r="L658" s="3">
        <f>IF(OR(K658="",F658=""),"",F658/1000*K658*100)</f>
        <v/>
      </c>
      <c r="M658">
        <f>IF(OR(L658="",L658=0),"",ROUND(100/L658,0))</f>
        <v/>
      </c>
      <c r="N658" t="inlineStr"/>
    </row>
    <row r="659">
      <c r="A659" t="n">
        <v>110</v>
      </c>
      <c r="B659" t="inlineStr">
        <is>
          <t>Jade Starlight Forest</t>
        </is>
      </c>
      <c r="C659" t="inlineStr">
        <is>
          <t>Dragon Scale Fossil</t>
        </is>
      </c>
      <c r="D659" t="n">
        <v>3.782926</v>
      </c>
      <c r="E659" t="n">
        <v>9588</v>
      </c>
      <c r="F659" s="3" t="n">
        <v>0.3945479766374635</v>
      </c>
      <c r="G659" t="n">
        <v>2535</v>
      </c>
      <c r="H659" s="3" t="n">
        <v>0.386551710460229</v>
      </c>
      <c r="I659" s="3" t="n">
        <v>0.4026680152615018</v>
      </c>
      <c r="J659" t="n">
        <v>9258.799999999999</v>
      </c>
      <c r="K659">
        <f>IF(IFERROR(INDEX(Spots!$K$2:$K$96,MATCH(A659,Spots!$A$2:$A$96,0)),"")="","",IFERROR(INDEX(Spots!$K$2:$K$96,MATCH(A659,Spots!$A$2:$A$96,0)),""))</f>
        <v/>
      </c>
      <c r="L659" s="3">
        <f>IF(OR(K659="",F659=""),"",F659/1000*K659*100)</f>
        <v/>
      </c>
      <c r="M659">
        <f>IF(OR(L659="",L659=0),"",ROUND(100/L659,0))</f>
        <v/>
      </c>
      <c r="N659" t="inlineStr"/>
    </row>
    <row r="660">
      <c r="A660" t="n">
        <v>110</v>
      </c>
      <c r="B660" t="inlineStr">
        <is>
          <t>Jade Starlight Forest</t>
        </is>
      </c>
      <c r="C660" t="inlineStr">
        <is>
          <t>Embers of Frost</t>
        </is>
      </c>
      <c r="D660" t="n">
        <v>1.576549</v>
      </c>
      <c r="E660" t="n">
        <v>9588</v>
      </c>
      <c r="F660" s="3" t="n">
        <v>0.1644293909052983</v>
      </c>
      <c r="G660" t="n">
        <v>6082</v>
      </c>
      <c r="H660" s="3" t="n">
        <v>0.1592816512263805</v>
      </c>
      <c r="I660" s="3" t="n">
        <v>0.1697011399342114</v>
      </c>
      <c r="J660" t="n">
        <v>3858.7</v>
      </c>
      <c r="K660">
        <f>IF(IFERROR(INDEX(Spots!$K$2:$K$96,MATCH(A660,Spots!$A$2:$A$96,0)),"")="","",IFERROR(INDEX(Spots!$K$2:$K$96,MATCH(A660,Spots!$A$2:$A$96,0)),""))</f>
        <v/>
      </c>
      <c r="L660" s="3">
        <f>IF(OR(K660="",F660=""),"",F660/1000*K660*100)</f>
        <v/>
      </c>
      <c r="M660">
        <f>IF(OR(L660="",L660=0),"",ROUND(100/L660,0))</f>
        <v/>
      </c>
      <c r="N660" t="inlineStr"/>
    </row>
    <row r="661">
      <c r="A661" t="n">
        <v>110</v>
      </c>
      <c r="B661" t="inlineStr">
        <is>
          <t>Jade Starlight Forest</t>
        </is>
      </c>
      <c r="C661" t="inlineStr">
        <is>
          <t>Imperfect Lightstone of Fire</t>
        </is>
      </c>
      <c r="D661" t="n">
        <v>0.56366047</v>
      </c>
      <c r="E661" t="n">
        <v>9588</v>
      </c>
      <c r="F661" s="3" t="n">
        <v>0.05878811743846474</v>
      </c>
      <c r="G661" t="n">
        <v>17010</v>
      </c>
      <c r="H661" s="3" t="n">
        <v>0.05572643754792292</v>
      </c>
      <c r="I661" s="3" t="n">
        <v>0.06197425444961329</v>
      </c>
      <c r="J661" t="n">
        <v>1379.6</v>
      </c>
      <c r="K661">
        <f>IF(IFERROR(INDEX(Spots!$K$2:$K$96,MATCH(A661,Spots!$A$2:$A$96,0)),"")="","",IFERROR(INDEX(Spots!$K$2:$K$96,MATCH(A661,Spots!$A$2:$A$96,0)),""))</f>
        <v/>
      </c>
      <c r="L661" s="3">
        <f>IF(OR(K661="",F661=""),"",F661/1000*K661*100)</f>
        <v/>
      </c>
      <c r="M661">
        <f>IF(OR(L661="",L661=0),"",ROUND(100/L661,0))</f>
        <v/>
      </c>
      <c r="N661" t="inlineStr"/>
    </row>
    <row r="662">
      <c r="A662" t="n">
        <v>110</v>
      </c>
      <c r="B662" t="inlineStr">
        <is>
          <t>Jade Starlight Forest</t>
        </is>
      </c>
      <c r="C662" t="inlineStr">
        <is>
          <t>Essence of Insight</t>
        </is>
      </c>
      <c r="D662" t="n">
        <v>0.3208255</v>
      </c>
      <c r="E662" t="n">
        <v>9588</v>
      </c>
      <c r="F662" s="3" t="n">
        <v>0.03346114935335837</v>
      </c>
      <c r="G662" t="n">
        <v>29885</v>
      </c>
      <c r="H662" s="3" t="n">
        <v>0.03116130142355419</v>
      </c>
      <c r="I662" s="3" t="n">
        <v>0.03588581525635271</v>
      </c>
      <c r="J662" t="n">
        <v>785.2</v>
      </c>
      <c r="K662">
        <f>IF(IFERROR(INDEX(Spots!$K$2:$K$96,MATCH(A662,Spots!$A$2:$A$96,0)),"")="","",IFERROR(INDEX(Spots!$K$2:$K$96,MATCH(A662,Spots!$A$2:$A$96,0)),""))</f>
        <v/>
      </c>
      <c r="L662" s="3">
        <f>IF(OR(K662="",F662=""),"",F662/1000*K662*100)</f>
        <v/>
      </c>
      <c r="M662">
        <f>IF(OR(L662="",L662=0),"",ROUND(100/L662,0))</f>
        <v/>
      </c>
      <c r="N662" t="inlineStr"/>
    </row>
    <row r="663">
      <c r="A663" t="n">
        <v>110</v>
      </c>
      <c r="B663" t="inlineStr">
        <is>
          <t>Jade Starlight Forest</t>
        </is>
      </c>
      <c r="C663" t="inlineStr">
        <is>
          <t>Any Artifact</t>
        </is>
      </c>
      <c r="D663" t="n">
        <v>0.16908798</v>
      </c>
      <c r="E663" t="n">
        <v>9588</v>
      </c>
      <c r="F663" s="3" t="n">
        <v>0.01763537546933667</v>
      </c>
      <c r="G663" t="n">
        <v>56704</v>
      </c>
      <c r="H663" s="3" t="n">
        <v>0.01597695130226119</v>
      </c>
      <c r="I663" s="3" t="n">
        <v>0.01941916937707232</v>
      </c>
      <c r="J663" t="n">
        <v>413.8</v>
      </c>
      <c r="K663">
        <f>IF(IFERROR(INDEX(Spots!$K$2:$K$96,MATCH(A663,Spots!$A$2:$A$96,0)),"")="","",IFERROR(INDEX(Spots!$K$2:$K$96,MATCH(A663,Spots!$A$2:$A$96,0)),""))</f>
        <v/>
      </c>
      <c r="L663" s="3">
        <f>IF(OR(K663="",F663=""),"",F663/1000*K663*100)</f>
        <v/>
      </c>
      <c r="M663">
        <f>IF(OR(L663="",L663=0),"",ROUND(100/L663,0))</f>
        <v/>
      </c>
      <c r="N663" t="inlineStr"/>
    </row>
    <row r="664">
      <c r="A664" t="n">
        <v>110</v>
      </c>
      <c r="B664" t="inlineStr">
        <is>
          <t>Jade Starlight Forest</t>
        </is>
      </c>
      <c r="C664" t="inlineStr">
        <is>
          <t>Forgotten Witch's Token</t>
        </is>
      </c>
      <c r="D664" t="n">
        <v>0.14467362</v>
      </c>
      <c r="E664" t="n">
        <v>9588</v>
      </c>
      <c r="F664" s="3" t="n">
        <v>0.01508903003754693</v>
      </c>
      <c r="G664" t="n">
        <v>66273</v>
      </c>
      <c r="H664" s="3" t="n">
        <v>0.01355807586569595</v>
      </c>
      <c r="I664" s="3" t="n">
        <v>0.01674551654125899</v>
      </c>
      <c r="J664" t="n">
        <v>354.1</v>
      </c>
      <c r="K664">
        <f>IF(IFERROR(INDEX(Spots!$K$2:$K$96,MATCH(A664,Spots!$A$2:$A$96,0)),"")="","",IFERROR(INDEX(Spots!$K$2:$K$96,MATCH(A664,Spots!$A$2:$A$96,0)),""))</f>
        <v/>
      </c>
      <c r="L664" s="3">
        <f>IF(OR(K664="",F664=""),"",F664/1000*K664*100)</f>
        <v/>
      </c>
      <c r="M664">
        <f>IF(OR(L664="",L664=0),"",ROUND(100/L664,0))</f>
        <v/>
      </c>
      <c r="N664" t="inlineStr"/>
    </row>
    <row r="665">
      <c r="A665" t="n">
        <v>110</v>
      </c>
      <c r="B665" t="inlineStr">
        <is>
          <t>Jade Starlight Forest</t>
        </is>
      </c>
      <c r="C665" t="inlineStr">
        <is>
          <t>Imperfect Lightstone of Earth</t>
        </is>
      </c>
      <c r="D665" t="n">
        <v>0.10149291</v>
      </c>
      <c r="E665" t="n">
        <v>9588</v>
      </c>
      <c r="F665" s="3" t="n">
        <v>0.0105854098873592</v>
      </c>
      <c r="G665" t="n">
        <v>94470</v>
      </c>
      <c r="H665" s="3" t="n">
        <v>0.009309797391325718</v>
      </c>
      <c r="I665" s="3" t="n">
        <v>0.01198697359723363</v>
      </c>
      <c r="J665" t="n">
        <v>248.4</v>
      </c>
      <c r="K665">
        <f>IF(IFERROR(INDEX(Spots!$K$2:$K$96,MATCH(A665,Spots!$A$2:$A$96,0)),"")="","",IFERROR(INDEX(Spots!$K$2:$K$96,MATCH(A665,Spots!$A$2:$A$96,0)),""))</f>
        <v/>
      </c>
      <c r="L665" s="3">
        <f>IF(OR(K665="",F665=""),"",F665/1000*K665*100)</f>
        <v/>
      </c>
      <c r="M665">
        <f>IF(OR(L665="",L665=0),"",ROUND(100/L665,0))</f>
        <v/>
      </c>
      <c r="N665" t="inlineStr"/>
    </row>
    <row r="666">
      <c r="A666" t="n">
        <v>110</v>
      </c>
      <c r="B666" t="inlineStr">
        <is>
          <t>Jade Starlight Forest</t>
        </is>
      </c>
      <c r="C666" t="inlineStr">
        <is>
          <t>Imperfect Lightstone of Wind</t>
        </is>
      </c>
      <c r="D666" t="n">
        <v>0.08444773</v>
      </c>
      <c r="E666" t="n">
        <v>9588</v>
      </c>
      <c r="F666" s="3" t="n">
        <v>0.00880764810179391</v>
      </c>
      <c r="G666" t="n">
        <v>113538</v>
      </c>
      <c r="H666" s="3" t="n">
        <v>0.00764768943096864</v>
      </c>
      <c r="I666" s="3" t="n">
        <v>0.01009380527758367</v>
      </c>
      <c r="J666" t="n">
        <v>206.7</v>
      </c>
      <c r="K666">
        <f>IF(IFERROR(INDEX(Spots!$K$2:$K$96,MATCH(A666,Spots!$A$2:$A$96,0)),"")="","",IFERROR(INDEX(Spots!$K$2:$K$96,MATCH(A666,Spots!$A$2:$A$96,0)),""))</f>
        <v/>
      </c>
      <c r="L666" s="3">
        <f>IF(OR(K666="",F666=""),"",F666/1000*K666*100)</f>
        <v/>
      </c>
      <c r="M666">
        <f>IF(OR(L666="",L666=0),"",ROUND(100/L666,0))</f>
        <v/>
      </c>
      <c r="N666" t="inlineStr"/>
    </row>
    <row r="667">
      <c r="A667" t="n">
        <v>110</v>
      </c>
      <c r="B667" t="inlineStr">
        <is>
          <t>Jade Starlight Forest</t>
        </is>
      </c>
      <c r="C667" t="inlineStr">
        <is>
          <t>Iridescent Lightstone</t>
        </is>
      </c>
      <c r="D667" t="n">
        <v>0.04639296</v>
      </c>
      <c r="E667" t="n">
        <v>9588</v>
      </c>
      <c r="F667" s="3" t="n">
        <v>0.004838648310387985</v>
      </c>
      <c r="G667" t="n">
        <v>206669</v>
      </c>
      <c r="H667" s="3" t="n">
        <v>0.003989598152739473</v>
      </c>
      <c r="I667" s="3" t="n">
        <v>0.005814872405864194</v>
      </c>
      <c r="J667" t="n">
        <v>113.5</v>
      </c>
      <c r="K667">
        <f>IF(IFERROR(INDEX(Spots!$K$2:$K$96,MATCH(A667,Spots!$A$2:$A$96,0)),"")="","",IFERROR(INDEX(Spots!$K$2:$K$96,MATCH(A667,Spots!$A$2:$A$96,0)),""))</f>
        <v/>
      </c>
      <c r="L667" s="3">
        <f>IF(OR(K667="",F667=""),"",F667/1000*K667*100)</f>
        <v/>
      </c>
      <c r="M667">
        <f>IF(OR(L667="",L667=0),"",ROUND(100/L667,0))</f>
        <v/>
      </c>
      <c r="N667" t="inlineStr"/>
    </row>
    <row r="668">
      <c r="A668" t="n">
        <v>110</v>
      </c>
      <c r="B668" t="inlineStr">
        <is>
          <t>Jade Starlight Forest</t>
        </is>
      </c>
      <c r="C668" t="inlineStr">
        <is>
          <t>Ouk Pill of Time and Tide</t>
        </is>
      </c>
      <c r="D668" t="n">
        <v>0.02889481</v>
      </c>
      <c r="E668" t="n">
        <v>9588</v>
      </c>
      <c r="F668" s="3" t="n">
        <v>0.003013643095536087</v>
      </c>
      <c r="G668" t="n">
        <v>331824</v>
      </c>
      <c r="H668" s="3" t="n">
        <v>0.002352352571410233</v>
      </c>
      <c r="I668" s="3" t="n">
        <v>0.003803101027483664</v>
      </c>
      <c r="J668" t="n">
        <v>70.7</v>
      </c>
      <c r="K668">
        <f>IF(IFERROR(INDEX(Spots!$K$2:$K$96,MATCH(A668,Spots!$A$2:$A$96,0)),"")="","",IFERROR(INDEX(Spots!$K$2:$K$96,MATCH(A668,Spots!$A$2:$A$96,0)),""))</f>
        <v/>
      </c>
      <c r="L668" s="3">
        <f>IF(OR(K668="",F668=""),"",F668/1000*K668*100)</f>
        <v/>
      </c>
      <c r="M668">
        <f>IF(OR(L668="",L668=0),"",ROUND(100/L668,0))</f>
        <v/>
      </c>
      <c r="N668" t="inlineStr"/>
    </row>
    <row r="669">
      <c r="A669" t="n">
        <v>110</v>
      </c>
      <c r="B669" t="inlineStr">
        <is>
          <t>Jade Starlight Forest</t>
        </is>
      </c>
      <c r="C669" t="inlineStr">
        <is>
          <t>Flame of Frost</t>
        </is>
      </c>
      <c r="D669" t="n">
        <v>0.01041824</v>
      </c>
      <c r="E669" t="n">
        <v>9588</v>
      </c>
      <c r="F669" s="3" t="n">
        <v>0.001086591572799333</v>
      </c>
      <c r="G669" t="n">
        <v>920309</v>
      </c>
      <c r="H669" s="3" t="n">
        <v>0.0007063373127278858</v>
      </c>
      <c r="I669" s="3" t="n">
        <v>0.001598055212375115</v>
      </c>
      <c r="J669" t="n">
        <v>25.5</v>
      </c>
      <c r="K669">
        <f>IF(IFERROR(INDEX(Spots!$K$2:$K$96,MATCH(A669,Spots!$A$2:$A$96,0)),"")="","",IFERROR(INDEX(Spots!$K$2:$K$96,MATCH(A669,Spots!$A$2:$A$96,0)),""))</f>
        <v/>
      </c>
      <c r="L669" s="3">
        <f>IF(OR(K669="",F669=""),"",F669/1000*K669*100)</f>
        <v/>
      </c>
      <c r="M669">
        <f>IF(OR(L669="",L669=0),"",ROUND(100/L669,0))</f>
        <v/>
      </c>
      <c r="N669" t="inlineStr">
        <is>
          <t>low sample</t>
        </is>
      </c>
    </row>
    <row r="670">
      <c r="A670" t="n">
        <v>9</v>
      </c>
      <c r="B670" t="inlineStr">
        <is>
          <t>Kratuga Ancient Ruins</t>
        </is>
      </c>
      <c r="C670" t="inlineStr">
        <is>
          <t>Ancient Spirit Dust</t>
        </is>
      </c>
      <c r="D670" t="n">
        <v>29.709</v>
      </c>
      <c r="E670" t="n">
        <v>14241</v>
      </c>
      <c r="F670" s="3" t="n">
        <v>2.086159679797767</v>
      </c>
      <c r="G670" t="n">
        <v>479</v>
      </c>
      <c r="H670" s="3" t="n">
        <v>1.997367111531146</v>
      </c>
      <c r="I670" s="3" t="n">
        <v>2.177882792368126</v>
      </c>
      <c r="J670" t="n">
        <v>2075.7</v>
      </c>
      <c r="K670">
        <f>IF(IFERROR(INDEX(Spots!$K$2:$K$96,MATCH(A670,Spots!$A$2:$A$96,0)),"")="","",IFERROR(INDEX(Spots!$K$2:$K$96,MATCH(A670,Spots!$A$2:$A$96,0)),""))</f>
        <v/>
      </c>
      <c r="L670" s="3">
        <f>IF(OR(K670="",F670=""),"",F670/1000*K670*100)</f>
        <v/>
      </c>
      <c r="M670">
        <f>IF(OR(L670="",L670=0),"",ROUND(100/L670,0))</f>
        <v/>
      </c>
      <c r="N670" t="inlineStr"/>
    </row>
    <row r="671">
      <c r="A671" t="n">
        <v>9</v>
      </c>
      <c r="B671" t="inlineStr">
        <is>
          <t>Kratuga Ancient Ruins</t>
        </is>
      </c>
      <c r="C671" t="inlineStr">
        <is>
          <t>Black Stone</t>
        </is>
      </c>
      <c r="D671" t="n">
        <v>24.912</v>
      </c>
      <c r="E671" t="n">
        <v>14241</v>
      </c>
      <c r="F671" s="3" t="n">
        <v>1.749315357067622</v>
      </c>
      <c r="G671" t="n">
        <v>572</v>
      </c>
      <c r="H671" s="3" t="n">
        <v>1.668087512935199</v>
      </c>
      <c r="I671" s="3" t="n">
        <v>1.833475715233721</v>
      </c>
      <c r="J671" t="n">
        <v>1740.5</v>
      </c>
      <c r="K671">
        <f>IF(IFERROR(INDEX(Spots!$K$2:$K$96,MATCH(A671,Spots!$A$2:$A$96,0)),"")="","",IFERROR(INDEX(Spots!$K$2:$K$96,MATCH(A671,Spots!$A$2:$A$96,0)),""))</f>
        <v/>
      </c>
      <c r="L671" s="3">
        <f>IF(OR(K671="",F671=""),"",F671/1000*K671*100)</f>
        <v/>
      </c>
      <c r="M671">
        <f>IF(OR(L671="",L671=0),"",ROUND(100/L671,0))</f>
        <v/>
      </c>
      <c r="N671" t="inlineStr"/>
    </row>
    <row r="672">
      <c r="A672" t="n">
        <v>9</v>
      </c>
      <c r="B672" t="inlineStr">
        <is>
          <t>Kratuga Ancient Ruins</t>
        </is>
      </c>
      <c r="C672" t="inlineStr">
        <is>
          <t>Caphras Stone</t>
        </is>
      </c>
      <c r="D672" t="n">
        <v>11.032</v>
      </c>
      <c r="E672" t="n">
        <v>14241</v>
      </c>
      <c r="F672" s="3" t="n">
        <v>0.7746647005126044</v>
      </c>
      <c r="G672" t="n">
        <v>1291</v>
      </c>
      <c r="H672" s="3" t="n">
        <v>0.7209322498598384</v>
      </c>
      <c r="I672" s="3" t="n">
        <v>0.8313413755017732</v>
      </c>
      <c r="J672" t="n">
        <v>770.8</v>
      </c>
      <c r="K672">
        <f>IF(IFERROR(INDEX(Spots!$K$2:$K$96,MATCH(A672,Spots!$A$2:$A$96,0)),"")="","",IFERROR(INDEX(Spots!$K$2:$K$96,MATCH(A672,Spots!$A$2:$A$96,0)),""))</f>
        <v/>
      </c>
      <c r="L672" s="3">
        <f>IF(OR(K672="",F672=""),"",F672/1000*K672*100)</f>
        <v/>
      </c>
      <c r="M672">
        <f>IF(OR(L672="",L672=0),"",ROUND(100/L672,0))</f>
        <v/>
      </c>
      <c r="N672" t="inlineStr"/>
    </row>
    <row r="673">
      <c r="A673" t="n">
        <v>9</v>
      </c>
      <c r="B673" t="inlineStr">
        <is>
          <t>Kratuga Ancient Ruins</t>
        </is>
      </c>
      <c r="C673" t="inlineStr">
        <is>
          <t>Forbidden Book</t>
        </is>
      </c>
      <c r="D673" t="n">
        <v>9.498457</v>
      </c>
      <c r="E673" t="n">
        <v>14241</v>
      </c>
      <c r="F673" s="3" t="n">
        <v>0.6669796362614985</v>
      </c>
      <c r="G673" t="n">
        <v>1499</v>
      </c>
      <c r="H673" s="3" t="n">
        <v>0.6171909578192343</v>
      </c>
      <c r="I673" s="3" t="n">
        <v>0.7197152496607148</v>
      </c>
      <c r="J673" t="n">
        <v>663.6</v>
      </c>
      <c r="K673">
        <f>IF(IFERROR(INDEX(Spots!$K$2:$K$96,MATCH(A673,Spots!$A$2:$A$96,0)),"")="","",IFERROR(INDEX(Spots!$K$2:$K$96,MATCH(A673,Spots!$A$2:$A$96,0)),""))</f>
        <v/>
      </c>
      <c r="L673" s="3">
        <f>IF(OR(K673="",F673=""),"",F673/1000*K673*100)</f>
        <v/>
      </c>
      <c r="M673">
        <f>IF(OR(L673="",L673=0),"",ROUND(100/L673,0))</f>
        <v/>
      </c>
      <c r="N673" t="inlineStr"/>
    </row>
    <row r="674">
      <c r="A674" t="n">
        <v>9</v>
      </c>
      <c r="B674" t="inlineStr">
        <is>
          <t>Kratuga Ancient Ruins</t>
        </is>
      </c>
      <c r="C674" t="inlineStr">
        <is>
          <t>Sealed Black Magic Crystal</t>
        </is>
      </c>
      <c r="D674" t="n">
        <v>4.839243</v>
      </c>
      <c r="E674" t="n">
        <v>14241</v>
      </c>
      <c r="F674" s="3" t="n">
        <v>0.339810617231936</v>
      </c>
      <c r="G674" t="n">
        <v>2943</v>
      </c>
      <c r="H674" s="3" t="n">
        <v>0.3045491137808315</v>
      </c>
      <c r="I674" s="3" t="n">
        <v>0.3780340641925388</v>
      </c>
      <c r="J674" t="n">
        <v>338.1</v>
      </c>
      <c r="K674">
        <f>IF(IFERROR(INDEX(Spots!$K$2:$K$96,MATCH(A674,Spots!$A$2:$A$96,0)),"")="","",IFERROR(INDEX(Spots!$K$2:$K$96,MATCH(A674,Spots!$A$2:$A$96,0)),""))</f>
        <v/>
      </c>
      <c r="L674" s="3">
        <f>IF(OR(K674="",F674=""),"",F674/1000*K674*100)</f>
        <v/>
      </c>
      <c r="M674">
        <f>IF(OR(L674="",L674=0),"",ROUND(100/L674,0))</f>
        <v/>
      </c>
      <c r="N674" t="inlineStr"/>
    </row>
    <row r="675">
      <c r="A675" t="n">
        <v>9</v>
      </c>
      <c r="B675" t="inlineStr">
        <is>
          <t>Kratuga Ancient Ruins</t>
        </is>
      </c>
      <c r="C675" t="inlineStr">
        <is>
          <t>Traveler's Map</t>
        </is>
      </c>
      <c r="D675" t="n">
        <v>2.387258</v>
      </c>
      <c r="E675" t="n">
        <v>14241</v>
      </c>
      <c r="F675" s="3" t="n">
        <v>0.1676327505090935</v>
      </c>
      <c r="G675" t="n">
        <v>5965</v>
      </c>
      <c r="H675" s="3" t="n">
        <v>0.1431555158447232</v>
      </c>
      <c r="I675" s="3" t="n">
        <v>0.1950939376991468</v>
      </c>
      <c r="J675" t="n">
        <v>166.8</v>
      </c>
      <c r="K675">
        <f>IF(IFERROR(INDEX(Spots!$K$2:$K$96,MATCH(A675,Spots!$A$2:$A$96,0)),"")="","",IFERROR(INDEX(Spots!$K$2:$K$96,MATCH(A675,Spots!$A$2:$A$96,0)),""))</f>
        <v/>
      </c>
      <c r="L675" s="3">
        <f>IF(OR(K675="",F675=""),"",F675/1000*K675*100)</f>
        <v/>
      </c>
      <c r="M675">
        <f>IF(OR(L675="",L675=0),"",ROUND(100/L675,0))</f>
        <v/>
      </c>
      <c r="N675" t="inlineStr"/>
    </row>
    <row r="676">
      <c r="A676" t="n">
        <v>9</v>
      </c>
      <c r="B676" t="inlineStr">
        <is>
          <t>Kratuga Ancient Ruins</t>
        </is>
      </c>
      <c r="C676" t="inlineStr">
        <is>
          <t>Any Artifact</t>
        </is>
      </c>
      <c r="D676" t="n">
        <v>1.814931</v>
      </c>
      <c r="E676" t="n">
        <v>14241</v>
      </c>
      <c r="F676" s="3" t="n">
        <v>0.1274440699389088</v>
      </c>
      <c r="G676" t="n">
        <v>7847</v>
      </c>
      <c r="H676" s="3" t="n">
        <v>0.1062266832857444</v>
      </c>
      <c r="I676" s="3" t="n">
        <v>0.1516561746268932</v>
      </c>
      <c r="J676" t="n">
        <v>126.8</v>
      </c>
      <c r="K676">
        <f>IF(IFERROR(INDEX(Spots!$K$2:$K$96,MATCH(A676,Spots!$A$2:$A$96,0)),"")="","",IFERROR(INDEX(Spots!$K$2:$K$96,MATCH(A676,Spots!$A$2:$A$96,0)),""))</f>
        <v/>
      </c>
      <c r="L676" s="3">
        <f>IF(OR(K676="",F676=""),"",F676/1000*K676*100)</f>
        <v/>
      </c>
      <c r="M676">
        <f>IF(OR(L676="",L676=0),"",ROUND(100/L676,0))</f>
        <v/>
      </c>
      <c r="N676" t="inlineStr"/>
    </row>
    <row r="677">
      <c r="A677" t="n">
        <v>9</v>
      </c>
      <c r="B677" t="inlineStr">
        <is>
          <t>Kratuga Ancient Ruins</t>
        </is>
      </c>
      <c r="C677" t="inlineStr">
        <is>
          <t>Mass of Pure Magic</t>
        </is>
      </c>
      <c r="D677" t="n">
        <v>1.327362</v>
      </c>
      <c r="E677" t="n">
        <v>14241</v>
      </c>
      <c r="F677" s="3" t="n">
        <v>0.09320707815462397</v>
      </c>
      <c r="G677" t="n">
        <v>10729</v>
      </c>
      <c r="H677" s="3" t="n">
        <v>0.07520390353030376</v>
      </c>
      <c r="I677" s="3" t="n">
        <v>0.1142191040133466</v>
      </c>
      <c r="J677" t="n">
        <v>92.7</v>
      </c>
      <c r="K677">
        <f>IF(IFERROR(INDEX(Spots!$K$2:$K$96,MATCH(A677,Spots!$A$2:$A$96,0)),"")="","",IFERROR(INDEX(Spots!$K$2:$K$96,MATCH(A677,Spots!$A$2:$A$96,0)),""))</f>
        <v/>
      </c>
      <c r="L677" s="3">
        <f>IF(OR(K677="",F677=""),"",F677/1000*K677*100)</f>
        <v/>
      </c>
      <c r="M677">
        <f>IF(OR(L677="",L677=0),"",ROUND(100/L677,0))</f>
        <v/>
      </c>
      <c r="N677" t="inlineStr"/>
    </row>
    <row r="678">
      <c r="A678" t="n">
        <v>9</v>
      </c>
      <c r="B678" t="inlineStr">
        <is>
          <t>Kratuga Ancient Ruins</t>
        </is>
      </c>
      <c r="C678" t="inlineStr">
        <is>
          <t>Yona's Fragment</t>
        </is>
      </c>
      <c r="D678" t="n">
        <v>1.320569</v>
      </c>
      <c r="E678" t="n">
        <v>14241</v>
      </c>
      <c r="F678" s="3" t="n">
        <v>0.09273007513517309</v>
      </c>
      <c r="G678" t="n">
        <v>10784</v>
      </c>
      <c r="H678" s="3" t="n">
        <v>0.07477554068279552</v>
      </c>
      <c r="I678" s="3" t="n">
        <v>0.1136937104879943</v>
      </c>
      <c r="J678" t="n">
        <v>92.3</v>
      </c>
      <c r="K678">
        <f>IF(IFERROR(INDEX(Spots!$K$2:$K$96,MATCH(A678,Spots!$A$2:$A$96,0)),"")="","",IFERROR(INDEX(Spots!$K$2:$K$96,MATCH(A678,Spots!$A$2:$A$96,0)),""))</f>
        <v/>
      </c>
      <c r="L678" s="3">
        <f>IF(OR(K678="",F678=""),"",F678/1000*K678*100)</f>
        <v/>
      </c>
      <c r="M678">
        <f>IF(OR(L678="",L678=0),"",ROUND(100/L678,0))</f>
        <v/>
      </c>
      <c r="N678" t="inlineStr"/>
    </row>
    <row r="679">
      <c r="A679" t="n">
        <v>9</v>
      </c>
      <c r="B679" t="inlineStr">
        <is>
          <t>Kratuga Ancient Ruins</t>
        </is>
      </c>
      <c r="C679" t="inlineStr">
        <is>
          <t>Elkarr</t>
        </is>
      </c>
      <c r="D679" t="n">
        <v>0.54279643</v>
      </c>
      <c r="E679" t="n">
        <v>14241</v>
      </c>
      <c r="F679" s="3" t="n">
        <v>0.03811505020714837</v>
      </c>
      <c r="G679" t="n">
        <v>26236</v>
      </c>
      <c r="H679" s="3" t="n">
        <v>0.02695864622854087</v>
      </c>
      <c r="I679" s="3" t="n">
        <v>0.05233420224557023</v>
      </c>
      <c r="J679" t="n">
        <v>37.9</v>
      </c>
      <c r="K679">
        <f>IF(IFERROR(INDEX(Spots!$K$2:$K$96,MATCH(A679,Spots!$A$2:$A$96,0)),"")="","",IFERROR(INDEX(Spots!$K$2:$K$96,MATCH(A679,Spots!$A$2:$A$96,0)),""))</f>
        <v/>
      </c>
      <c r="L679" s="3">
        <f>IF(OR(K679="",F679=""),"",F679/1000*K679*100)</f>
        <v/>
      </c>
      <c r="M679">
        <f>IF(OR(L679="",L679=0),"",ROUND(100/L679,0))</f>
        <v/>
      </c>
      <c r="N679" t="inlineStr"/>
    </row>
    <row r="680">
      <c r="A680" t="n">
        <v>9</v>
      </c>
      <c r="B680" t="inlineStr">
        <is>
          <t>Kratuga Ancient Ruins</t>
        </is>
      </c>
      <c r="C680" t="inlineStr">
        <is>
          <t>Imperfect Lightstone of Fire</t>
        </is>
      </c>
      <c r="D680" t="n">
        <v>0.43188907</v>
      </c>
      <c r="E680" t="n">
        <v>14241</v>
      </c>
      <c r="F680" s="3" t="n">
        <v>0.0303271589073801</v>
      </c>
      <c r="G680" t="n">
        <v>32974</v>
      </c>
      <c r="H680" s="3" t="n">
        <v>0.02048317810869015</v>
      </c>
      <c r="I680" s="3" t="n">
        <v>0.0432515681337051</v>
      </c>
      <c r="J680" t="n">
        <v>30.2</v>
      </c>
      <c r="K680">
        <f>IF(IFERROR(INDEX(Spots!$K$2:$K$96,MATCH(A680,Spots!$A$2:$A$96,0)),"")="","",IFERROR(INDEX(Spots!$K$2:$K$96,MATCH(A680,Spots!$A$2:$A$96,0)),""))</f>
        <v/>
      </c>
      <c r="L680" s="3">
        <f>IF(OR(K680="",F680=""),"",F680/1000*K680*100)</f>
        <v/>
      </c>
      <c r="M680">
        <f>IF(OR(L680="",L680=0),"",ROUND(100/L680,0))</f>
        <v/>
      </c>
      <c r="N680" t="inlineStr"/>
    </row>
    <row r="681">
      <c r="A681" t="n">
        <v>9</v>
      </c>
      <c r="B681" t="inlineStr">
        <is>
          <t>Kratuga Ancient Ruins</t>
        </is>
      </c>
      <c r="C681" t="inlineStr">
        <is>
          <t>Tungrad Earring</t>
        </is>
      </c>
      <c r="D681" t="n">
        <v>0.42077031</v>
      </c>
      <c r="E681" t="n">
        <v>14241</v>
      </c>
      <c r="F681" s="3" t="n">
        <v>0.02954640193806615</v>
      </c>
      <c r="G681" t="n">
        <v>33845</v>
      </c>
      <c r="H681" s="3" t="n">
        <v>0.01984289737480609</v>
      </c>
      <c r="I681" s="3" t="n">
        <v>0.04233246910743663</v>
      </c>
      <c r="J681" t="n">
        <v>29.4</v>
      </c>
      <c r="K681">
        <f>IF(IFERROR(INDEX(Spots!$K$2:$K$96,MATCH(A681,Spots!$A$2:$A$96,0)),"")="","",IFERROR(INDEX(Spots!$K$2:$K$96,MATCH(A681,Spots!$A$2:$A$96,0)),""))</f>
        <v/>
      </c>
      <c r="L681" s="3">
        <f>IF(OR(K681="",F681=""),"",F681/1000*K681*100)</f>
        <v/>
      </c>
      <c r="M681">
        <f>IF(OR(L681="",L681=0),"",ROUND(100/L681,0))</f>
        <v/>
      </c>
      <c r="N681" t="inlineStr">
        <is>
          <t>low sample</t>
        </is>
      </c>
    </row>
    <row r="682">
      <c r="A682" t="n">
        <v>9</v>
      </c>
      <c r="B682" t="inlineStr">
        <is>
          <t>Kratuga Ancient Ruins</t>
        </is>
      </c>
      <c r="C682" t="inlineStr">
        <is>
          <t>Laytenn's Power Stone</t>
        </is>
      </c>
      <c r="D682" t="n">
        <v>0.1151606</v>
      </c>
      <c r="E682" t="n">
        <v>14241</v>
      </c>
      <c r="F682" s="3" t="n">
        <v>0.008086552910610211</v>
      </c>
      <c r="G682" t="n">
        <v>123662</v>
      </c>
      <c r="H682" s="3" t="n">
        <v>0.003492130870988105</v>
      </c>
      <c r="I682" s="3" t="n">
        <v>0.01590518483427589</v>
      </c>
      <c r="J682" t="n">
        <v>8</v>
      </c>
      <c r="K682">
        <f>IF(IFERROR(INDEX(Spots!$K$2:$K$96,MATCH(A682,Spots!$A$2:$A$96,0)),"")="","",IFERROR(INDEX(Spots!$K$2:$K$96,MATCH(A682,Spots!$A$2:$A$96,0)),""))</f>
        <v/>
      </c>
      <c r="L682" s="3">
        <f>IF(OR(K682="",F682=""),"",F682/1000*K682*100)</f>
        <v/>
      </c>
      <c r="M682">
        <f>IF(OR(L682="",L682=0),"",ROUND(100/L682,0))</f>
        <v/>
      </c>
      <c r="N682" t="inlineStr">
        <is>
          <t>low sample</t>
        </is>
      </c>
    </row>
    <row r="683">
      <c r="A683" t="n">
        <v>9</v>
      </c>
      <c r="B683" t="inlineStr">
        <is>
          <t>Kratuga Ancient Ruins</t>
        </is>
      </c>
      <c r="C683" t="inlineStr">
        <is>
          <t>Imperfect Lightstone of Wind</t>
        </is>
      </c>
      <c r="D683" t="n">
        <v>0.10138347</v>
      </c>
      <c r="E683" t="n">
        <v>14241</v>
      </c>
      <c r="F683" s="3" t="n">
        <v>0.007119125763640194</v>
      </c>
      <c r="G683" t="n">
        <v>140467</v>
      </c>
      <c r="H683" s="3" t="n">
        <v>0.002871221207464025</v>
      </c>
      <c r="I683" s="3" t="n">
        <v>0.01460940805809615</v>
      </c>
      <c r="J683" t="n">
        <v>7.1</v>
      </c>
      <c r="K683">
        <f>IF(IFERROR(INDEX(Spots!$K$2:$K$96,MATCH(A683,Spots!$A$2:$A$96,0)),"")="","",IFERROR(INDEX(Spots!$K$2:$K$96,MATCH(A683,Spots!$A$2:$A$96,0)),""))</f>
        <v/>
      </c>
      <c r="L683" s="3">
        <f>IF(OR(K683="",F683=""),"",F683/1000*K683*100)</f>
        <v/>
      </c>
      <c r="M683">
        <f>IF(OR(L683="",L683=0),"",ROUND(100/L683,0))</f>
        <v/>
      </c>
      <c r="N683" t="inlineStr">
        <is>
          <t>low sample</t>
        </is>
      </c>
    </row>
    <row r="684">
      <c r="A684" t="n">
        <v>9</v>
      </c>
      <c r="B684" t="inlineStr">
        <is>
          <t>Kratuga Ancient Ruins</t>
        </is>
      </c>
      <c r="C684" t="inlineStr">
        <is>
          <t>Imperfect Lightstone of Earth</t>
        </is>
      </c>
      <c r="D684" t="n">
        <v>0.06469572</v>
      </c>
      <c r="E684" t="n">
        <v>14241</v>
      </c>
      <c r="F684" s="3" t="n">
        <v>0.004542919738782389</v>
      </c>
      <c r="G684" t="n">
        <v>220123</v>
      </c>
      <c r="H684" s="3" t="n">
        <v>0.00135486460809057</v>
      </c>
      <c r="I684" s="3" t="n">
        <v>0.01104386636137526</v>
      </c>
      <c r="J684" t="n">
        <v>4.5</v>
      </c>
      <c r="K684">
        <f>IF(IFERROR(INDEX(Spots!$K$2:$K$96,MATCH(A684,Spots!$A$2:$A$96,0)),"")="","",IFERROR(INDEX(Spots!$K$2:$K$96,MATCH(A684,Spots!$A$2:$A$96,0)),""))</f>
        <v/>
      </c>
      <c r="L684" s="3">
        <f>IF(OR(K684="",F684=""),"",F684/1000*K684*100)</f>
        <v/>
      </c>
      <c r="M684">
        <f>IF(OR(L684="",L684=0),"",ROUND(100/L684,0))</f>
        <v/>
      </c>
      <c r="N684" t="inlineStr">
        <is>
          <t>low sample</t>
        </is>
      </c>
    </row>
    <row r="685">
      <c r="A685" t="n">
        <v>215</v>
      </c>
      <c r="B685" t="inlineStr">
        <is>
          <t>Magaia Temple</t>
        </is>
      </c>
      <c r="C685" t="inlineStr">
        <is>
          <t>Ancient Spirit Dust</t>
        </is>
      </c>
      <c r="D685" t="n">
        <v>48.717</v>
      </c>
      <c r="E685" t="n">
        <v>6400</v>
      </c>
      <c r="F685" s="3" t="n">
        <v>7.61203125</v>
      </c>
      <c r="G685" t="n">
        <v>131</v>
      </c>
      <c r="H685" s="3" t="n">
        <v>7.600257269163739</v>
      </c>
      <c r="I685" s="3" t="n">
        <v>7.623818966195939</v>
      </c>
      <c r="J685" t="n">
        <v>1604483</v>
      </c>
      <c r="K685">
        <f>IF(IFERROR(INDEX(Spots!$K$2:$K$96,MATCH(A685,Spots!$A$2:$A$96,0)),"")="","",IFERROR(INDEX(Spots!$K$2:$K$96,MATCH(A685,Spots!$A$2:$A$96,0)),""))</f>
        <v/>
      </c>
      <c r="L685" s="3">
        <f>IF(OR(K685="",F685=""),"",F685/1000*K685*100)</f>
        <v/>
      </c>
      <c r="M685">
        <f>IF(OR(L685="",L685=0),"",ROUND(100/L685,0))</f>
        <v/>
      </c>
      <c r="N685" t="inlineStr"/>
    </row>
    <row r="686">
      <c r="A686" t="n">
        <v>215</v>
      </c>
      <c r="B686" t="inlineStr">
        <is>
          <t>Magaia Temple</t>
        </is>
      </c>
      <c r="C686" t="inlineStr">
        <is>
          <t>Black Stone</t>
        </is>
      </c>
      <c r="D686" t="n">
        <v>26.879</v>
      </c>
      <c r="E686" t="n">
        <v>6400</v>
      </c>
      <c r="F686" s="3" t="n">
        <v>4.19984375</v>
      </c>
      <c r="G686" t="n">
        <v>238</v>
      </c>
      <c r="H686" s="3" t="n">
        <v>4.191099306185243</v>
      </c>
      <c r="I686" s="3" t="n">
        <v>4.20860193044493</v>
      </c>
      <c r="J686" t="n">
        <v>885253.6</v>
      </c>
      <c r="K686">
        <f>IF(IFERROR(INDEX(Spots!$K$2:$K$96,MATCH(A686,Spots!$A$2:$A$96,0)),"")="","",IFERROR(INDEX(Spots!$K$2:$K$96,MATCH(A686,Spots!$A$2:$A$96,0)),""))</f>
        <v/>
      </c>
      <c r="L686" s="3">
        <f>IF(OR(K686="",F686=""),"",F686/1000*K686*100)</f>
        <v/>
      </c>
      <c r="M686">
        <f>IF(OR(L686="",L686=0),"",ROUND(100/L686,0))</f>
        <v/>
      </c>
      <c r="N686" t="inlineStr"/>
    </row>
    <row r="687">
      <c r="A687" t="n">
        <v>215</v>
      </c>
      <c r="B687" t="inlineStr">
        <is>
          <t>Magaia Temple</t>
        </is>
      </c>
      <c r="C687" t="inlineStr">
        <is>
          <t>Caphras Stone</t>
        </is>
      </c>
      <c r="D687" t="n">
        <v>10.385</v>
      </c>
      <c r="E687" t="n">
        <v>6400</v>
      </c>
      <c r="F687" s="3" t="n">
        <v>1.62265625</v>
      </c>
      <c r="G687" t="n">
        <v>616</v>
      </c>
      <c r="H687" s="3" t="n">
        <v>1.617222584109434</v>
      </c>
      <c r="I687" s="3" t="n">
        <v>1.628103655527344</v>
      </c>
      <c r="J687" t="n">
        <v>342027.6</v>
      </c>
      <c r="K687">
        <f>IF(IFERROR(INDEX(Spots!$K$2:$K$96,MATCH(A687,Spots!$A$2:$A$96,0)),"")="","",IFERROR(INDEX(Spots!$K$2:$K$96,MATCH(A687,Spots!$A$2:$A$96,0)),""))</f>
        <v/>
      </c>
      <c r="L687" s="3">
        <f>IF(OR(K687="",F687=""),"",F687/1000*K687*100)</f>
        <v/>
      </c>
      <c r="M687">
        <f>IF(OR(L687="",L687=0),"",ROUND(100/L687,0))</f>
        <v/>
      </c>
      <c r="N687" t="inlineStr"/>
    </row>
    <row r="688">
      <c r="A688" t="n">
        <v>215</v>
      </c>
      <c r="B688" t="inlineStr">
        <is>
          <t>Magaia Temple</t>
        </is>
      </c>
      <c r="C688" t="inlineStr">
        <is>
          <t>JIN Origin Shard</t>
        </is>
      </c>
      <c r="D688" t="n">
        <v>1.680924</v>
      </c>
      <c r="E688" t="n">
        <v>6400</v>
      </c>
      <c r="F688" s="3" t="n">
        <v>0.262644375</v>
      </c>
      <c r="G688" t="n">
        <v>3807</v>
      </c>
      <c r="H688" s="3" t="n">
        <v>0.2604609951935353</v>
      </c>
      <c r="I688" s="3" t="n">
        <v>0.2648415062383282</v>
      </c>
      <c r="J688" t="n">
        <v>55360.8</v>
      </c>
      <c r="K688">
        <f>IF(IFERROR(INDEX(Spots!$K$2:$K$96,MATCH(A688,Spots!$A$2:$A$96,0)),"")="","",IFERROR(INDEX(Spots!$K$2:$K$96,MATCH(A688,Spots!$A$2:$A$96,0)),""))</f>
        <v/>
      </c>
      <c r="L688" s="3">
        <f>IF(OR(K688="",F688=""),"",F688/1000*K688*100)</f>
        <v/>
      </c>
      <c r="M688">
        <f>IF(OR(L688="",L688=0),"",ROUND(100/L688,0))</f>
        <v/>
      </c>
      <c r="N688" t="inlineStr"/>
    </row>
    <row r="689">
      <c r="A689" t="n">
        <v>215</v>
      </c>
      <c r="B689" t="inlineStr">
        <is>
          <t>Magaia Temple</t>
        </is>
      </c>
      <c r="C689" t="inlineStr">
        <is>
          <t>Corrupt Oil of Immortality</t>
        </is>
      </c>
      <c r="D689" t="n">
        <v>0.46398844</v>
      </c>
      <c r="E689" t="n">
        <v>6400</v>
      </c>
      <c r="F689" s="3" t="n">
        <v>0.07249819375</v>
      </c>
      <c r="G689" t="n">
        <v>13793</v>
      </c>
      <c r="H689" s="3" t="n">
        <v>0.07135321091361711</v>
      </c>
      <c r="I689" s="3" t="n">
        <v>0.07365694582106577</v>
      </c>
      <c r="J689" t="n">
        <v>15281.4</v>
      </c>
      <c r="K689">
        <f>IF(IFERROR(INDEX(Spots!$K$2:$K$96,MATCH(A689,Spots!$A$2:$A$96,0)),"")="","",IFERROR(INDEX(Spots!$K$2:$K$96,MATCH(A689,Spots!$A$2:$A$96,0)),""))</f>
        <v/>
      </c>
      <c r="L689" s="3">
        <f>IF(OR(K689="",F689=""),"",F689/1000*K689*100)</f>
        <v/>
      </c>
      <c r="M689">
        <f>IF(OR(L689="",L689=0),"",ROUND(100/L689,0))</f>
        <v/>
      </c>
      <c r="N689" t="inlineStr"/>
    </row>
    <row r="690">
      <c r="A690" t="n">
        <v>215</v>
      </c>
      <c r="B690" t="inlineStr">
        <is>
          <t>Magaia Temple</t>
        </is>
      </c>
      <c r="C690" t="inlineStr">
        <is>
          <t>Twilight of the End - Belt</t>
        </is>
      </c>
      <c r="D690" t="n">
        <v>0.35548404</v>
      </c>
      <c r="E690" t="n">
        <v>6400</v>
      </c>
      <c r="F690" s="3" t="n">
        <v>0.05554438125</v>
      </c>
      <c r="G690" t="n">
        <v>18004</v>
      </c>
      <c r="H690" s="3" t="n">
        <v>0.05454274078848457</v>
      </c>
      <c r="I690" s="3" t="n">
        <v>0.05655979628430835</v>
      </c>
      <c r="J690" t="n">
        <v>11707.8</v>
      </c>
      <c r="K690">
        <f>IF(IFERROR(INDEX(Spots!$K$2:$K$96,MATCH(A690,Spots!$A$2:$A$96,0)),"")="","",IFERROR(INDEX(Spots!$K$2:$K$96,MATCH(A690,Spots!$A$2:$A$96,0)),""))</f>
        <v/>
      </c>
      <c r="L690" s="3">
        <f>IF(OR(K690="",F690=""),"",F690/1000*K690*100)</f>
        <v/>
      </c>
      <c r="M690">
        <f>IF(OR(L690="",L690=0),"",ROUND(100/L690,0))</f>
        <v/>
      </c>
      <c r="N690" t="inlineStr"/>
    </row>
    <row r="691">
      <c r="A691" t="n">
        <v>215</v>
      </c>
      <c r="B691" t="inlineStr">
        <is>
          <t>Magaia Temple</t>
        </is>
      </c>
      <c r="C691" t="inlineStr">
        <is>
          <t>Fusion Shard</t>
        </is>
      </c>
      <c r="D691" t="n">
        <v>0.33868758</v>
      </c>
      <c r="E691" t="n">
        <v>6400</v>
      </c>
      <c r="F691" s="3" t="n">
        <v>0.052919934375</v>
      </c>
      <c r="G691" t="n">
        <v>18896</v>
      </c>
      <c r="H691" s="3" t="n">
        <v>0.0519423515482173</v>
      </c>
      <c r="I691" s="3" t="n">
        <v>0.05391129282288028</v>
      </c>
      <c r="J691" t="n">
        <v>11154.6</v>
      </c>
      <c r="K691">
        <f>IF(IFERROR(INDEX(Spots!$K$2:$K$96,MATCH(A691,Spots!$A$2:$A$96,0)),"")="","",IFERROR(INDEX(Spots!$K$2:$K$96,MATCH(A691,Spots!$A$2:$A$96,0)),""))</f>
        <v/>
      </c>
      <c r="L691" s="3">
        <f>IF(OR(K691="",F691=""),"",F691/1000*K691*100)</f>
        <v/>
      </c>
      <c r="M691">
        <f>IF(OR(L691="",L691=0),"",ROUND(100/L691,0))</f>
        <v/>
      </c>
      <c r="N691" t="inlineStr"/>
    </row>
    <row r="692">
      <c r="A692" t="n">
        <v>215</v>
      </c>
      <c r="B692" t="inlineStr">
        <is>
          <t>Magaia Temple</t>
        </is>
      </c>
      <c r="C692" t="inlineStr">
        <is>
          <t>Nev's Fragment</t>
        </is>
      </c>
      <c r="D692" t="n">
        <v>0.33703217</v>
      </c>
      <c r="E692" t="n">
        <v>6400</v>
      </c>
      <c r="F692" s="3" t="n">
        <v>0.0526612765625</v>
      </c>
      <c r="G692" t="n">
        <v>18989</v>
      </c>
      <c r="H692" s="3" t="n">
        <v>0.05168609676729645</v>
      </c>
      <c r="I692" s="3" t="n">
        <v>0.05365023208633481</v>
      </c>
      <c r="J692" t="n">
        <v>11100.1</v>
      </c>
      <c r="K692">
        <f>IF(IFERROR(INDEX(Spots!$K$2:$K$96,MATCH(A692,Spots!$A$2:$A$96,0)),"")="","",IFERROR(INDEX(Spots!$K$2:$K$96,MATCH(A692,Spots!$A$2:$A$96,0)),""))</f>
        <v/>
      </c>
      <c r="L692" s="3">
        <f>IF(OR(K692="",F692=""),"",F692/1000*K692*100)</f>
        <v/>
      </c>
      <c r="M692">
        <f>IF(OR(L692="",L692=0),"",ROUND(100/L692,0))</f>
        <v/>
      </c>
      <c r="N692" t="inlineStr"/>
    </row>
    <row r="693">
      <c r="A693" t="n">
        <v>215</v>
      </c>
      <c r="B693" t="inlineStr">
        <is>
          <t>Magaia Temple</t>
        </is>
      </c>
      <c r="C693" t="inlineStr">
        <is>
          <t>Sunset Primordial Luster - Edana</t>
        </is>
      </c>
      <c r="D693" t="n">
        <v>0.2061523</v>
      </c>
      <c r="E693" t="n">
        <v>6400</v>
      </c>
      <c r="F693" s="3" t="n">
        <v>0.032211296875</v>
      </c>
      <c r="G693" t="n">
        <v>31045</v>
      </c>
      <c r="H693" s="3" t="n">
        <v>0.03144959823706559</v>
      </c>
      <c r="I693" s="3" t="n">
        <v>0.03298678347907974</v>
      </c>
      <c r="J693" t="n">
        <v>6789.6</v>
      </c>
      <c r="K693">
        <f>IF(IFERROR(INDEX(Spots!$K$2:$K$96,MATCH(A693,Spots!$A$2:$A$96,0)),"")="","",IFERROR(INDEX(Spots!$K$2:$K$96,MATCH(A693,Spots!$A$2:$A$96,0)),""))</f>
        <v/>
      </c>
      <c r="L693" s="3">
        <f>IF(OR(K693="",F693=""),"",F693/1000*K693*100)</f>
        <v/>
      </c>
      <c r="M693">
        <f>IF(OR(L693="",L693=0),"",ROUND(100/L693,0))</f>
        <v/>
      </c>
      <c r="N693" t="inlineStr"/>
    </row>
    <row r="694">
      <c r="A694" t="n">
        <v>215</v>
      </c>
      <c r="B694" t="inlineStr">
        <is>
          <t>Magaia Temple</t>
        </is>
      </c>
      <c r="C694" t="inlineStr">
        <is>
          <t>Silent Fragment of Origin</t>
        </is>
      </c>
      <c r="D694" t="n">
        <v>0.16466285</v>
      </c>
      <c r="E694" t="n">
        <v>6400</v>
      </c>
      <c r="F694" s="3" t="n">
        <v>0.0257285703125</v>
      </c>
      <c r="G694" t="n">
        <v>38867</v>
      </c>
      <c r="H694" s="3" t="n">
        <v>0.02504830106507737</v>
      </c>
      <c r="I694" s="3" t="n">
        <v>0.02642263419808613</v>
      </c>
      <c r="J694" t="n">
        <v>5423.1</v>
      </c>
      <c r="K694">
        <f>IF(IFERROR(INDEX(Spots!$K$2:$K$96,MATCH(A694,Spots!$A$2:$A$96,0)),"")="","",IFERROR(INDEX(Spots!$K$2:$K$96,MATCH(A694,Spots!$A$2:$A$96,0)),""))</f>
        <v/>
      </c>
      <c r="L694" s="3">
        <f>IF(OR(K694="",F694=""),"",F694/1000*K694*100)</f>
        <v/>
      </c>
      <c r="M694">
        <f>IF(OR(L694="",L694=0),"",ROUND(100/L694,0))</f>
        <v/>
      </c>
      <c r="N694" t="inlineStr"/>
    </row>
    <row r="695">
      <c r="A695" t="n">
        <v>215</v>
      </c>
      <c r="B695" t="inlineStr">
        <is>
          <t>Magaia Temple</t>
        </is>
      </c>
      <c r="C695" t="inlineStr">
        <is>
          <t>Twilight of the End - Earring</t>
        </is>
      </c>
      <c r="D695" t="n">
        <v>0.13660287</v>
      </c>
      <c r="E695" t="n">
        <v>6400</v>
      </c>
      <c r="F695" s="3" t="n">
        <v>0.0213441984375</v>
      </c>
      <c r="G695" t="n">
        <v>46851</v>
      </c>
      <c r="H695" s="3" t="n">
        <v>0.02072499887504753</v>
      </c>
      <c r="I695" s="3" t="n">
        <v>0.02197719878133813</v>
      </c>
      <c r="J695" t="n">
        <v>4499</v>
      </c>
      <c r="K695">
        <f>IF(IFERROR(INDEX(Spots!$K$2:$K$96,MATCH(A695,Spots!$A$2:$A$96,0)),"")="","",IFERROR(INDEX(Spots!$K$2:$K$96,MATCH(A695,Spots!$A$2:$A$96,0)),""))</f>
        <v/>
      </c>
      <c r="L695" s="3">
        <f>IF(OR(K695="",F695=""),"",F695/1000*K695*100)</f>
        <v/>
      </c>
      <c r="M695">
        <f>IF(OR(L695="",L695=0),"",ROUND(100/L695,0))</f>
        <v/>
      </c>
      <c r="N695" t="inlineStr"/>
    </row>
    <row r="696">
      <c r="A696" t="n">
        <v>215</v>
      </c>
      <c r="B696" t="inlineStr">
        <is>
          <t>Magaia Temple</t>
        </is>
      </c>
      <c r="C696" t="inlineStr">
        <is>
          <t>Twilight of the End - Ring</t>
        </is>
      </c>
      <c r="D696" t="n">
        <v>0.1355822</v>
      </c>
      <c r="E696" t="n">
        <v>6400</v>
      </c>
      <c r="F696" s="3" t="n">
        <v>0.02118471875</v>
      </c>
      <c r="G696" t="n">
        <v>47204</v>
      </c>
      <c r="H696" s="3" t="n">
        <v>0.02056785369549748</v>
      </c>
      <c r="I696" s="3" t="n">
        <v>0.0218153848446065</v>
      </c>
      <c r="J696" t="n">
        <v>4465.4</v>
      </c>
      <c r="K696">
        <f>IF(IFERROR(INDEX(Spots!$K$2:$K$96,MATCH(A696,Spots!$A$2:$A$96,0)),"")="","",IFERROR(INDEX(Spots!$K$2:$K$96,MATCH(A696,Spots!$A$2:$A$96,0)),""))</f>
        <v/>
      </c>
      <c r="L696" s="3">
        <f>IF(OR(K696="",F696=""),"",F696/1000*K696*100)</f>
        <v/>
      </c>
      <c r="M696">
        <f>IF(OR(L696="",L696=0),"",ROUND(100/L696,0))</f>
        <v/>
      </c>
      <c r="N696" t="inlineStr"/>
    </row>
    <row r="697">
      <c r="A697" t="n">
        <v>215</v>
      </c>
      <c r="B697" t="inlineStr">
        <is>
          <t>Magaia Temple</t>
        </is>
      </c>
      <c r="C697" t="inlineStr">
        <is>
          <t>Crimson Primordial Luster - Sovereign</t>
        </is>
      </c>
      <c r="D697" t="n">
        <v>0.12194402</v>
      </c>
      <c r="E697" t="n">
        <v>6400</v>
      </c>
      <c r="F697" s="3" t="n">
        <v>0.019053753125</v>
      </c>
      <c r="G697" t="n">
        <v>52483</v>
      </c>
      <c r="H697" s="3" t="n">
        <v>0.01846896848242622</v>
      </c>
      <c r="I697" s="3" t="n">
        <v>0.01965234256982985</v>
      </c>
      <c r="J697" t="n">
        <v>4016.2</v>
      </c>
      <c r="K697">
        <f>IF(IFERROR(INDEX(Spots!$K$2:$K$96,MATCH(A697,Spots!$A$2:$A$96,0)),"")="","",IFERROR(INDEX(Spots!$K$2:$K$96,MATCH(A697,Spots!$A$2:$A$96,0)),""))</f>
        <v/>
      </c>
      <c r="L697" s="3">
        <f>IF(OR(K697="",F697=""),"",F697/1000*K697*100)</f>
        <v/>
      </c>
      <c r="M697">
        <f>IF(OR(L697="",L697=0),"",ROUND(100/L697,0))</f>
        <v/>
      </c>
      <c r="N697" t="inlineStr"/>
    </row>
    <row r="698">
      <c r="A698" t="n">
        <v>215</v>
      </c>
      <c r="B698" t="inlineStr">
        <is>
          <t>Magaia Temple</t>
        </is>
      </c>
      <c r="C698" t="inlineStr">
        <is>
          <t>Violet Primordial Luster - Sovereign</t>
        </is>
      </c>
      <c r="D698" t="n">
        <v>0.11978819</v>
      </c>
      <c r="E698" t="n">
        <v>6400</v>
      </c>
      <c r="F698" s="3" t="n">
        <v>0.0187169046875</v>
      </c>
      <c r="G698" t="n">
        <v>53428</v>
      </c>
      <c r="H698" s="3" t="n">
        <v>0.01813735236022796</v>
      </c>
      <c r="I698" s="3" t="n">
        <v>0.01931026246969429</v>
      </c>
      <c r="J698" t="n">
        <v>3945.2</v>
      </c>
      <c r="K698">
        <f>IF(IFERROR(INDEX(Spots!$K$2:$K$96,MATCH(A698,Spots!$A$2:$A$96,0)),"")="","",IFERROR(INDEX(Spots!$K$2:$K$96,MATCH(A698,Spots!$A$2:$A$96,0)),""))</f>
        <v/>
      </c>
      <c r="L698" s="3">
        <f>IF(OR(K698="",F698=""),"",F698/1000*K698*100)</f>
        <v/>
      </c>
      <c r="M698">
        <f>IF(OR(L698="",L698=0),"",ROUND(100/L698,0))</f>
        <v/>
      </c>
      <c r="N698" t="inlineStr"/>
    </row>
    <row r="699">
      <c r="A699" t="n">
        <v>215</v>
      </c>
      <c r="B699" t="inlineStr">
        <is>
          <t>Magaia Temple</t>
        </is>
      </c>
      <c r="C699" t="inlineStr">
        <is>
          <t>Violet Primordial Luster - Edana</t>
        </is>
      </c>
      <c r="D699" t="n">
        <v>0.11673269</v>
      </c>
      <c r="E699" t="n">
        <v>6400</v>
      </c>
      <c r="F699" s="3" t="n">
        <v>0.0182394828125</v>
      </c>
      <c r="G699" t="n">
        <v>54826</v>
      </c>
      <c r="H699" s="3" t="n">
        <v>0.01766742768582055</v>
      </c>
      <c r="I699" s="3" t="n">
        <v>0.01882534434985587</v>
      </c>
      <c r="J699" t="n">
        <v>3844.6</v>
      </c>
      <c r="K699">
        <f>IF(IFERROR(INDEX(Spots!$K$2:$K$96,MATCH(A699,Spots!$A$2:$A$96,0)),"")="","",IFERROR(INDEX(Spots!$K$2:$K$96,MATCH(A699,Spots!$A$2:$A$96,0)),""))</f>
        <v/>
      </c>
      <c r="L699" s="3">
        <f>IF(OR(K699="",F699=""),"",F699/1000*K699*100)</f>
        <v/>
      </c>
      <c r="M699">
        <f>IF(OR(L699="",L699=0),"",ROUND(100/L699,0))</f>
        <v/>
      </c>
      <c r="N699" t="inlineStr"/>
    </row>
    <row r="700">
      <c r="A700" t="n">
        <v>215</v>
      </c>
      <c r="B700" t="inlineStr">
        <is>
          <t>Magaia Temple</t>
        </is>
      </c>
      <c r="C700" t="inlineStr">
        <is>
          <t>Refined Essence of Devouring</t>
        </is>
      </c>
      <c r="D700" t="n">
        <v>0.033725</v>
      </c>
      <c r="E700" t="n">
        <v>6400</v>
      </c>
      <c r="F700" s="3" t="n">
        <v>0.00526953125</v>
      </c>
      <c r="G700" t="n">
        <v>189770</v>
      </c>
      <c r="H700" s="3" t="n">
        <v>0.004964144546212071</v>
      </c>
      <c r="I700" s="3" t="n">
        <v>0.005588788228088434</v>
      </c>
      <c r="J700" t="n">
        <v>1110.7</v>
      </c>
      <c r="K700">
        <f>IF(IFERROR(INDEX(Spots!$K$2:$K$96,MATCH(A700,Spots!$A$2:$A$96,0)),"")="","",IFERROR(INDEX(Spots!$K$2:$K$96,MATCH(A700,Spots!$A$2:$A$96,0)),""))</f>
        <v/>
      </c>
      <c r="L700" s="3">
        <f>IF(OR(K700="",F700=""),"",F700/1000*K700*100)</f>
        <v/>
      </c>
      <c r="M700">
        <f>IF(OR(L700="",L700=0),"",ROUND(100/L700,0))</f>
        <v/>
      </c>
      <c r="N700" t="inlineStr"/>
    </row>
    <row r="701">
      <c r="A701" t="n">
        <v>215</v>
      </c>
      <c r="B701" t="inlineStr">
        <is>
          <t>Magaia Temple</t>
        </is>
      </c>
      <c r="C701" t="inlineStr">
        <is>
          <t>Embers of Ynix - Shoes</t>
        </is>
      </c>
      <c r="D701" t="n">
        <v>0.02811044</v>
      </c>
      <c r="E701" t="n">
        <v>6400</v>
      </c>
      <c r="F701" s="3" t="n">
        <v>0.00439225625</v>
      </c>
      <c r="G701" t="n">
        <v>227673</v>
      </c>
      <c r="H701" s="3" t="n">
        <v>0.0041138415074535</v>
      </c>
      <c r="I701" s="3" t="n">
        <v>0.004684554378712542</v>
      </c>
      <c r="J701" t="n">
        <v>925.8</v>
      </c>
      <c r="K701">
        <f>IF(IFERROR(INDEX(Spots!$K$2:$K$96,MATCH(A701,Spots!$A$2:$A$96,0)),"")="","",IFERROR(INDEX(Spots!$K$2:$K$96,MATCH(A701,Spots!$A$2:$A$96,0)),""))</f>
        <v/>
      </c>
      <c r="L701" s="3">
        <f>IF(OR(K701="",F701=""),"",F701/1000*K701*100)</f>
        <v/>
      </c>
      <c r="M701">
        <f>IF(OR(L701="",L701=0),"",ROUND(100/L701,0))</f>
        <v/>
      </c>
      <c r="N701" t="inlineStr"/>
    </row>
    <row r="702">
      <c r="A702" t="n">
        <v>215</v>
      </c>
      <c r="B702" t="inlineStr">
        <is>
          <t>Magaia Temple</t>
        </is>
      </c>
      <c r="C702" t="inlineStr">
        <is>
          <t>JIN Wandering Origin Crystal</t>
        </is>
      </c>
      <c r="D702" t="n">
        <v>0.00751905</v>
      </c>
      <c r="E702" t="n">
        <v>6400</v>
      </c>
      <c r="F702" s="3" t="n">
        <v>0.0011748515625</v>
      </c>
      <c r="G702" t="n">
        <v>851171</v>
      </c>
      <c r="H702" s="3" t="n">
        <v>0.001033061524277398</v>
      </c>
      <c r="I702" s="3" t="n">
        <v>0.001330664512292936</v>
      </c>
      <c r="J702" t="n">
        <v>247.6</v>
      </c>
      <c r="K702">
        <f>IF(IFERROR(INDEX(Spots!$K$2:$K$96,MATCH(A702,Spots!$A$2:$A$96,0)),"")="","",IFERROR(INDEX(Spots!$K$2:$K$96,MATCH(A702,Spots!$A$2:$A$96,0)),""))</f>
        <v/>
      </c>
      <c r="L702" s="3">
        <f>IF(OR(K702="",F702=""),"",F702/1000*K702*100)</f>
        <v/>
      </c>
      <c r="M702">
        <f>IF(OR(L702="",L702=0),"",ROUND(100/L702,0))</f>
        <v/>
      </c>
      <c r="N702" t="inlineStr"/>
    </row>
    <row r="703">
      <c r="A703" t="n">
        <v>215</v>
      </c>
      <c r="B703" t="inlineStr">
        <is>
          <t>Magaia Temple</t>
        </is>
      </c>
      <c r="C703" t="inlineStr">
        <is>
          <t>Refined Origin of Hunger</t>
        </is>
      </c>
      <c r="D703" t="n">
        <v>0.00665184</v>
      </c>
      <c r="E703" t="n">
        <v>6400</v>
      </c>
      <c r="F703" s="3" t="n">
        <v>0.00103935</v>
      </c>
      <c r="G703" t="n">
        <v>962140</v>
      </c>
      <c r="H703" s="3" t="n">
        <v>0.0009062595504228619</v>
      </c>
      <c r="I703" s="3" t="n">
        <v>0.001186481465933296</v>
      </c>
      <c r="J703" t="n">
        <v>219.1</v>
      </c>
      <c r="K703">
        <f>IF(IFERROR(INDEX(Spots!$K$2:$K$96,MATCH(A703,Spots!$A$2:$A$96,0)),"")="","",IFERROR(INDEX(Spots!$K$2:$K$96,MATCH(A703,Spots!$A$2:$A$96,0)),""))</f>
        <v/>
      </c>
      <c r="L703" s="3">
        <f>IF(OR(K703="",F703=""),"",F703/1000*K703*100)</f>
        <v/>
      </c>
      <c r="M703">
        <f>IF(OR(L703="",L703=0),"",ROUND(100/L703,0))</f>
        <v/>
      </c>
      <c r="N703" t="inlineStr"/>
    </row>
    <row r="704">
      <c r="A704" t="n">
        <v>215</v>
      </c>
      <c r="B704" t="inlineStr">
        <is>
          <t>Magaia Temple</t>
        </is>
      </c>
      <c r="C704" t="inlineStr">
        <is>
          <t>Broken Vestige of Everlight</t>
        </is>
      </c>
      <c r="D704" t="n">
        <v>0.00623223</v>
      </c>
      <c r="E704" t="n">
        <v>6400</v>
      </c>
      <c r="F704" s="3" t="n">
        <v>0.0009737859375</v>
      </c>
      <c r="G704" t="n">
        <v>1026920</v>
      </c>
      <c r="H704" s="3" t="n">
        <v>0.0008451087419922783</v>
      </c>
      <c r="I704" s="3" t="n">
        <v>0.001116514221256747</v>
      </c>
      <c r="J704" t="n">
        <v>205.3</v>
      </c>
      <c r="K704">
        <f>IF(IFERROR(INDEX(Spots!$K$2:$K$96,MATCH(A704,Spots!$A$2:$A$96,0)),"")="","",IFERROR(INDEX(Spots!$K$2:$K$96,MATCH(A704,Spots!$A$2:$A$96,0)),""))</f>
        <v/>
      </c>
      <c r="L704" s="3">
        <f>IF(OR(K704="",F704=""),"",F704/1000*K704*100)</f>
        <v/>
      </c>
      <c r="M704">
        <f>IF(OR(L704="",L704=0),"",ROUND(100/L704,0))</f>
        <v/>
      </c>
      <c r="N704" t="inlineStr"/>
    </row>
    <row r="705">
      <c r="A705" t="n">
        <v>215</v>
      </c>
      <c r="B705" t="inlineStr">
        <is>
          <t>Magaia Temple</t>
        </is>
      </c>
      <c r="C705" t="inlineStr">
        <is>
          <t>Silent Crystal of Origin</t>
        </is>
      </c>
      <c r="D705" t="n">
        <v>0.00158126</v>
      </c>
      <c r="E705" t="n">
        <v>6400</v>
      </c>
      <c r="F705" s="3" t="n">
        <v>0.000247071875</v>
      </c>
      <c r="G705" t="n">
        <v>4047405</v>
      </c>
      <c r="H705" s="3" t="n">
        <v>0.0001845544022056833</v>
      </c>
      <c r="I705" s="3" t="n">
        <v>0.0003239442034824248</v>
      </c>
      <c r="J705" t="n">
        <v>52.1</v>
      </c>
      <c r="K705">
        <f>IF(IFERROR(INDEX(Spots!$K$2:$K$96,MATCH(A705,Spots!$A$2:$A$96,0)),"")="","",IFERROR(INDEX(Spots!$K$2:$K$96,MATCH(A705,Spots!$A$2:$A$96,0)),""))</f>
        <v/>
      </c>
      <c r="L705" s="3">
        <f>IF(OR(K705="",F705=""),"",F705/1000*K705*100)</f>
        <v/>
      </c>
      <c r="M705">
        <f>IF(OR(L705="",L705=0),"",ROUND(100/L705,0))</f>
        <v/>
      </c>
      <c r="N705" t="inlineStr"/>
    </row>
    <row r="706">
      <c r="A706" t="n">
        <v>215</v>
      </c>
      <c r="B706" t="inlineStr">
        <is>
          <t>Magaia Temple</t>
        </is>
      </c>
      <c r="C706" t="inlineStr">
        <is>
          <t>Sunset Primordial Pigment - Edana</t>
        </is>
      </c>
      <c r="D706" t="n">
        <v>0.0015278</v>
      </c>
      <c r="E706" t="n">
        <v>6400</v>
      </c>
      <c r="F706" s="3" t="n">
        <v>0.00023871875</v>
      </c>
      <c r="G706" t="n">
        <v>4189030</v>
      </c>
      <c r="H706" s="3" t="n">
        <v>0.0001773468127661016</v>
      </c>
      <c r="I706" s="3" t="n">
        <v>0.0003144559485139231</v>
      </c>
      <c r="J706" t="n">
        <v>50.3</v>
      </c>
      <c r="K706">
        <f>IF(IFERROR(INDEX(Spots!$K$2:$K$96,MATCH(A706,Spots!$A$2:$A$96,0)),"")="","",IFERROR(INDEX(Spots!$K$2:$K$96,MATCH(A706,Spots!$A$2:$A$96,0)),""))</f>
        <v/>
      </c>
      <c r="L706" s="3">
        <f>IF(OR(K706="",F706=""),"",F706/1000*K706*100)</f>
        <v/>
      </c>
      <c r="M706">
        <f>IF(OR(L706="",L706=0),"",ROUND(100/L706,0))</f>
        <v/>
      </c>
      <c r="N706" t="inlineStr"/>
    </row>
    <row r="707">
      <c r="A707" t="n">
        <v>215</v>
      </c>
      <c r="B707" t="inlineStr">
        <is>
          <t>Magaia Temple</t>
        </is>
      </c>
      <c r="C707" t="inlineStr">
        <is>
          <t>Apeiron Belt</t>
        </is>
      </c>
      <c r="D707" t="n">
        <v>0.00104619</v>
      </c>
      <c r="E707" t="n">
        <v>6400</v>
      </c>
      <c r="F707" s="3" t="n">
        <v>0.0001634671875</v>
      </c>
      <c r="G707" t="n">
        <v>6117436</v>
      </c>
      <c r="H707" s="3" t="n">
        <v>0.0001134899078696152</v>
      </c>
      <c r="I707" s="3" t="n">
        <v>0.00022793574422888</v>
      </c>
      <c r="J707" t="n">
        <v>34.5</v>
      </c>
      <c r="K707">
        <f>IF(IFERROR(INDEX(Spots!$K$2:$K$96,MATCH(A707,Spots!$A$2:$A$96,0)),"")="","",IFERROR(INDEX(Spots!$K$2:$K$96,MATCH(A707,Spots!$A$2:$A$96,0)),""))</f>
        <v/>
      </c>
      <c r="L707" s="3">
        <f>IF(OR(K707="",F707=""),"",F707/1000*K707*100)</f>
        <v/>
      </c>
      <c r="M707">
        <f>IF(OR(L707="",L707=0),"",ROUND(100/L707,0))</f>
        <v/>
      </c>
      <c r="N707" t="inlineStr"/>
    </row>
    <row r="708">
      <c r="A708" t="n">
        <v>215</v>
      </c>
      <c r="B708" t="inlineStr">
        <is>
          <t>Magaia Temple</t>
        </is>
      </c>
      <c r="C708" t="inlineStr">
        <is>
          <t>Apeiron Ring</t>
        </is>
      </c>
      <c r="D708" t="n">
        <v>0.00078344</v>
      </c>
      <c r="E708" t="n">
        <v>6400</v>
      </c>
      <c r="F708" s="3" t="n">
        <v>0.0001224125</v>
      </c>
      <c r="G708" t="n">
        <v>8169100</v>
      </c>
      <c r="H708" s="3" t="n">
        <v>7.979866565909429e-05</v>
      </c>
      <c r="I708" s="3" t="n">
        <v>0.0001796293276010669</v>
      </c>
      <c r="J708" t="n">
        <v>25.8</v>
      </c>
      <c r="K708">
        <f>IF(IFERROR(INDEX(Spots!$K$2:$K$96,MATCH(A708,Spots!$A$2:$A$96,0)),"")="","",IFERROR(INDEX(Spots!$K$2:$K$96,MATCH(A708,Spots!$A$2:$A$96,0)),""))</f>
        <v/>
      </c>
      <c r="L708" s="3">
        <f>IF(OR(K708="",F708=""),"",F708/1000*K708*100)</f>
        <v/>
      </c>
      <c r="M708">
        <f>IF(OR(L708="",L708=0),"",ROUND(100/L708,0))</f>
        <v/>
      </c>
      <c r="N708" t="inlineStr">
        <is>
          <t>low sample</t>
        </is>
      </c>
    </row>
    <row r="709">
      <c r="A709" t="n">
        <v>215</v>
      </c>
      <c r="B709" t="inlineStr">
        <is>
          <t>Magaia Temple</t>
        </is>
      </c>
      <c r="C709" t="inlineStr">
        <is>
          <t>Crimson Primordial Pigment - Sovereign</t>
        </is>
      </c>
      <c r="D709" t="n">
        <v>0.00070808</v>
      </c>
      <c r="E709" t="n">
        <v>6400</v>
      </c>
      <c r="F709" s="3" t="n">
        <v>0.0001106375</v>
      </c>
      <c r="G709" t="n">
        <v>9038527</v>
      </c>
      <c r="H709" s="3" t="n">
        <v>7.035820852149439e-05</v>
      </c>
      <c r="I709" s="3" t="n">
        <v>0.0001655623187312652</v>
      </c>
      <c r="J709" t="n">
        <v>23.3</v>
      </c>
      <c r="K709">
        <f>IF(IFERROR(INDEX(Spots!$K$2:$K$96,MATCH(A709,Spots!$A$2:$A$96,0)),"")="","",IFERROR(INDEX(Spots!$K$2:$K$96,MATCH(A709,Spots!$A$2:$A$96,0)),""))</f>
        <v/>
      </c>
      <c r="L709" s="3">
        <f>IF(OR(K709="",F709=""),"",F709/1000*K709*100)</f>
        <v/>
      </c>
      <c r="M709">
        <f>IF(OR(L709="",L709=0),"",ROUND(100/L709,0))</f>
        <v/>
      </c>
      <c r="N709" t="inlineStr">
        <is>
          <t>low sample</t>
        </is>
      </c>
    </row>
    <row r="710">
      <c r="A710" t="n">
        <v>215</v>
      </c>
      <c r="B710" t="inlineStr">
        <is>
          <t>Magaia Temple</t>
        </is>
      </c>
      <c r="C710" t="inlineStr">
        <is>
          <t>Apeiron Earring</t>
        </is>
      </c>
      <c r="D710" t="n">
        <v>0.00069231</v>
      </c>
      <c r="E710" t="n">
        <v>6400</v>
      </c>
      <c r="F710" s="3" t="n">
        <v>0.0001081734375</v>
      </c>
      <c r="G710" t="n">
        <v>9244414</v>
      </c>
      <c r="H710" s="3" t="n">
        <v>6.839822694254197e-05</v>
      </c>
      <c r="I710" s="3" t="n">
        <v>0.0001626039039316711</v>
      </c>
      <c r="J710" t="n">
        <v>22.8</v>
      </c>
      <c r="K710">
        <f>IF(IFERROR(INDEX(Spots!$K$2:$K$96,MATCH(A710,Spots!$A$2:$A$96,0)),"")="","",IFERROR(INDEX(Spots!$K$2:$K$96,MATCH(A710,Spots!$A$2:$A$96,0)),""))</f>
        <v/>
      </c>
      <c r="L710" s="3">
        <f>IF(OR(K710="",F710=""),"",F710/1000*K710*100)</f>
        <v/>
      </c>
      <c r="M710">
        <f>IF(OR(L710="",L710=0),"",ROUND(100/L710,0))</f>
        <v/>
      </c>
      <c r="N710" t="inlineStr">
        <is>
          <t>low sample</t>
        </is>
      </c>
    </row>
    <row r="711">
      <c r="A711" t="n">
        <v>215</v>
      </c>
      <c r="B711" t="inlineStr">
        <is>
          <t>Magaia Temple</t>
        </is>
      </c>
      <c r="C711" t="inlineStr">
        <is>
          <t>Violet Primordial Pigment - Sovereign</t>
        </is>
      </c>
      <c r="D711" t="n">
        <v>0.00062717</v>
      </c>
      <c r="E711" t="n">
        <v>6400</v>
      </c>
      <c r="F711" s="3" t="n">
        <v>9.799531250000001e-05</v>
      </c>
      <c r="G711" t="n">
        <v>10204570</v>
      </c>
      <c r="H711" s="3" t="n">
        <v>6.036602791410515e-05</v>
      </c>
      <c r="I711" s="3" t="n">
        <v>0.0001503236657952674</v>
      </c>
      <c r="J711" t="n">
        <v>20.7</v>
      </c>
      <c r="K711">
        <f>IF(IFERROR(INDEX(Spots!$K$2:$K$96,MATCH(A711,Spots!$A$2:$A$96,0)),"")="","",IFERROR(INDEX(Spots!$K$2:$K$96,MATCH(A711,Spots!$A$2:$A$96,0)),""))</f>
        <v/>
      </c>
      <c r="L711" s="3">
        <f>IF(OR(K711="",F711=""),"",F711/1000*K711*100)</f>
        <v/>
      </c>
      <c r="M711">
        <f>IF(OR(L711="",L711=0),"",ROUND(100/L711,0))</f>
        <v/>
      </c>
      <c r="N711" t="inlineStr">
        <is>
          <t>low sample</t>
        </is>
      </c>
    </row>
    <row r="712">
      <c r="A712" t="n">
        <v>215</v>
      </c>
      <c r="B712" t="inlineStr">
        <is>
          <t>Magaia Temple</t>
        </is>
      </c>
      <c r="C712" t="inlineStr">
        <is>
          <t>Violet Primordial Pigment - Edana</t>
        </is>
      </c>
      <c r="D712" t="n">
        <v>0.0005719399999999999</v>
      </c>
      <c r="E712" t="n">
        <v>6400</v>
      </c>
      <c r="F712" s="3" t="n">
        <v>8.936562499999999e-05</v>
      </c>
      <c r="G712" t="n">
        <v>11189985</v>
      </c>
      <c r="H712" s="3" t="n">
        <v>5.364521963452754e-05</v>
      </c>
      <c r="I712" s="3" t="n">
        <v>0.0001398276689440274</v>
      </c>
      <c r="J712" t="n">
        <v>18.8</v>
      </c>
      <c r="K712">
        <f>IF(IFERROR(INDEX(Spots!$K$2:$K$96,MATCH(A712,Spots!$A$2:$A$96,0)),"")="","",IFERROR(INDEX(Spots!$K$2:$K$96,MATCH(A712,Spots!$A$2:$A$96,0)),""))</f>
        <v/>
      </c>
      <c r="L712" s="3">
        <f>IF(OR(K712="",F712=""),"",F712/1000*K712*100)</f>
        <v/>
      </c>
      <c r="M712">
        <f>IF(OR(L712="",L712=0),"",ROUND(100/L712,0))</f>
        <v/>
      </c>
      <c r="N712" t="inlineStr">
        <is>
          <t>low sample</t>
        </is>
      </c>
    </row>
    <row r="713">
      <c r="A713" t="n">
        <v>25</v>
      </c>
      <c r="B713" t="inlineStr">
        <is>
          <t>Manshaum Forest</t>
        </is>
      </c>
      <c r="C713" t="inlineStr">
        <is>
          <t>Ancient Spirit Dust</t>
        </is>
      </c>
      <c r="D713" t="n">
        <v>11.885</v>
      </c>
      <c r="E713" t="n">
        <v>5566.4</v>
      </c>
      <c r="F713" s="3" t="n">
        <v>2.135132221902845</v>
      </c>
      <c r="G713" t="n">
        <v>468</v>
      </c>
      <c r="H713" s="3" t="n">
        <v>2.018296215874199</v>
      </c>
      <c r="I713" s="3" t="n">
        <v>2.256967559354794</v>
      </c>
      <c r="J713" t="n">
        <v>1247.9</v>
      </c>
      <c r="K713">
        <f>IF(IFERROR(INDEX(Spots!$K$2:$K$96,MATCH(A713,Spots!$A$2:$A$96,0)),"")="","",IFERROR(INDEX(Spots!$K$2:$K$96,MATCH(A713,Spots!$A$2:$A$96,0)),""))</f>
        <v/>
      </c>
      <c r="L713" s="3">
        <f>IF(OR(K713="",F713=""),"",F713/1000*K713*100)</f>
        <v/>
      </c>
      <c r="M713">
        <f>IF(OR(L713="",L713=0),"",ROUND(100/L713,0))</f>
        <v/>
      </c>
      <c r="N713" t="inlineStr"/>
    </row>
    <row r="714">
      <c r="A714" t="n">
        <v>25</v>
      </c>
      <c r="B714" t="inlineStr">
        <is>
          <t>Manshaum Forest</t>
        </is>
      </c>
      <c r="C714" t="inlineStr">
        <is>
          <t>Caphras Stone</t>
        </is>
      </c>
      <c r="D714" t="n">
        <v>11.281</v>
      </c>
      <c r="E714" t="n">
        <v>5566.4</v>
      </c>
      <c r="F714" s="3" t="n">
        <v>2.026624029893648</v>
      </c>
      <c r="G714" t="n">
        <v>493</v>
      </c>
      <c r="H714" s="3" t="n">
        <v>1.912837658290272</v>
      </c>
      <c r="I714" s="3" t="n">
        <v>2.145410971042058</v>
      </c>
      <c r="J714" t="n">
        <v>1184.5</v>
      </c>
      <c r="K714">
        <f>IF(IFERROR(INDEX(Spots!$K$2:$K$96,MATCH(A714,Spots!$A$2:$A$96,0)),"")="","",IFERROR(INDEX(Spots!$K$2:$K$96,MATCH(A714,Spots!$A$2:$A$96,0)),""))</f>
        <v/>
      </c>
      <c r="L714" s="3">
        <f>IF(OR(K714="",F714=""),"",F714/1000*K714*100)</f>
        <v/>
      </c>
      <c r="M714">
        <f>IF(OR(L714="",L714=0),"",ROUND(100/L714,0))</f>
        <v/>
      </c>
      <c r="N714" t="inlineStr"/>
    </row>
    <row r="715">
      <c r="A715" t="n">
        <v>25</v>
      </c>
      <c r="B715" t="inlineStr">
        <is>
          <t>Manshaum Forest</t>
        </is>
      </c>
      <c r="C715" t="inlineStr">
        <is>
          <t>Black Stone</t>
        </is>
      </c>
      <c r="D715" t="n">
        <v>8.783071</v>
      </c>
      <c r="E715" t="n">
        <v>5566.4</v>
      </c>
      <c r="F715" s="3" t="n">
        <v>1.577872772348376</v>
      </c>
      <c r="G715" t="n">
        <v>634</v>
      </c>
      <c r="H715" s="3" t="n">
        <v>1.477663930186131</v>
      </c>
      <c r="I715" s="3" t="n">
        <v>1.683088589383916</v>
      </c>
      <c r="J715" t="n">
        <v>922.2</v>
      </c>
      <c r="K715">
        <f>IF(IFERROR(INDEX(Spots!$K$2:$K$96,MATCH(A715,Spots!$A$2:$A$96,0)),"")="","",IFERROR(INDEX(Spots!$K$2:$K$96,MATCH(A715,Spots!$A$2:$A$96,0)),""))</f>
        <v/>
      </c>
      <c r="L715" s="3">
        <f>IF(OR(K715="",F715=""),"",F715/1000*K715*100)</f>
        <v/>
      </c>
      <c r="M715">
        <f>IF(OR(L715="",L715=0),"",ROUND(100/L715,0))</f>
        <v/>
      </c>
      <c r="N715" t="inlineStr"/>
    </row>
    <row r="716">
      <c r="A716" t="n">
        <v>25</v>
      </c>
      <c r="B716" t="inlineStr">
        <is>
          <t>Manshaum Forest</t>
        </is>
      </c>
      <c r="C716" t="inlineStr">
        <is>
          <t>Trace of Nature</t>
        </is>
      </c>
      <c r="D716" t="n">
        <v>6.227018</v>
      </c>
      <c r="E716" t="n">
        <v>5566.4</v>
      </c>
      <c r="F716" s="3" t="n">
        <v>1.118679577464789</v>
      </c>
      <c r="G716" t="n">
        <v>894</v>
      </c>
      <c r="H716" s="3" t="n">
        <v>1.034561785071157</v>
      </c>
      <c r="I716" s="3" t="n">
        <v>1.207814537758516</v>
      </c>
      <c r="J716" t="n">
        <v>653.8</v>
      </c>
      <c r="K716">
        <f>IF(IFERROR(INDEX(Spots!$K$2:$K$96,MATCH(A716,Spots!$A$2:$A$96,0)),"")="","",IFERROR(INDEX(Spots!$K$2:$K$96,MATCH(A716,Spots!$A$2:$A$96,0)),""))</f>
        <v/>
      </c>
      <c r="L716" s="3">
        <f>IF(OR(K716="",F716=""),"",F716/1000*K716*100)</f>
        <v/>
      </c>
      <c r="M716">
        <f>IF(OR(L716="",L716=0),"",ROUND(100/L716,0))</f>
        <v/>
      </c>
      <c r="N716" t="inlineStr"/>
    </row>
    <row r="717">
      <c r="A717" t="n">
        <v>25</v>
      </c>
      <c r="B717" t="inlineStr">
        <is>
          <t>Manshaum Forest</t>
        </is>
      </c>
      <c r="C717" t="inlineStr">
        <is>
          <t>Water Spirit Stone Fragment</t>
        </is>
      </c>
      <c r="D717" t="n">
        <v>3.679317</v>
      </c>
      <c r="E717" t="n">
        <v>5566.4</v>
      </c>
      <c r="F717" s="3" t="n">
        <v>0.6609868137395803</v>
      </c>
      <c r="G717" t="n">
        <v>1513</v>
      </c>
      <c r="H717" s="3" t="n">
        <v>0.5967076597153599</v>
      </c>
      <c r="I717" s="3" t="n">
        <v>0.7303024680424364</v>
      </c>
      <c r="J717" t="n">
        <v>386.3</v>
      </c>
      <c r="K717">
        <f>IF(IFERROR(INDEX(Spots!$K$2:$K$96,MATCH(A717,Spots!$A$2:$A$96,0)),"")="","",IFERROR(INDEX(Spots!$K$2:$K$96,MATCH(A717,Spots!$A$2:$A$96,0)),""))</f>
        <v/>
      </c>
      <c r="L717" s="3">
        <f>IF(OR(K717="",F717=""),"",F717/1000*K717*100)</f>
        <v/>
      </c>
      <c r="M717">
        <f>IF(OR(L717="",L717=0),"",ROUND(100/L717,0))</f>
        <v/>
      </c>
      <c r="N717" t="inlineStr"/>
    </row>
    <row r="718">
      <c r="A718" t="n">
        <v>25</v>
      </c>
      <c r="B718" t="inlineStr">
        <is>
          <t>Manshaum Forest</t>
        </is>
      </c>
      <c r="C718" t="inlineStr">
        <is>
          <t>Rumbling Earth Shard</t>
        </is>
      </c>
      <c r="D718" t="n">
        <v>3.341735</v>
      </c>
      <c r="E718" t="n">
        <v>5566.4</v>
      </c>
      <c r="F718" s="3" t="n">
        <v>0.6003404354699627</v>
      </c>
      <c r="G718" t="n">
        <v>1666</v>
      </c>
      <c r="H718" s="3" t="n">
        <v>0.5391584395378607</v>
      </c>
      <c r="I718" s="3" t="n">
        <v>0.6665630371335357</v>
      </c>
      <c r="J718" t="n">
        <v>350.9</v>
      </c>
      <c r="K718">
        <f>IF(IFERROR(INDEX(Spots!$K$2:$K$96,MATCH(A718,Spots!$A$2:$A$96,0)),"")="","",IFERROR(INDEX(Spots!$K$2:$K$96,MATCH(A718,Spots!$A$2:$A$96,0)),""))</f>
        <v/>
      </c>
      <c r="L718" s="3">
        <f>IF(OR(K718="",F718=""),"",F718/1000*K718*100)</f>
        <v/>
      </c>
      <c r="M718">
        <f>IF(OR(L718="",L718=0),"",ROUND(100/L718,0))</f>
        <v/>
      </c>
      <c r="N718" t="inlineStr"/>
    </row>
    <row r="719">
      <c r="A719" t="n">
        <v>25</v>
      </c>
      <c r="B719" t="inlineStr">
        <is>
          <t>Manshaum Forest</t>
        </is>
      </c>
      <c r="C719" t="inlineStr">
        <is>
          <t>Manshaum Voodoo Doll</t>
        </is>
      </c>
      <c r="D719" t="n">
        <v>2.433098</v>
      </c>
      <c r="E719" t="n">
        <v>5566.4</v>
      </c>
      <c r="F719" s="3" t="n">
        <v>0.4371044121874103</v>
      </c>
      <c r="G719" t="n">
        <v>2288</v>
      </c>
      <c r="H719" s="3" t="n">
        <v>0.3851408277253306</v>
      </c>
      <c r="I719" s="3" t="n">
        <v>0.4941235848273571</v>
      </c>
      <c r="J719" t="n">
        <v>255.5</v>
      </c>
      <c r="K719">
        <f>IF(IFERROR(INDEX(Spots!$K$2:$K$96,MATCH(A719,Spots!$A$2:$A$96,0)),"")="","",IFERROR(INDEX(Spots!$K$2:$K$96,MATCH(A719,Spots!$A$2:$A$96,0)),""))</f>
        <v/>
      </c>
      <c r="L719" s="3">
        <f>IF(OR(K719="",F719=""),"",F719/1000*K719*100)</f>
        <v/>
      </c>
      <c r="M719">
        <f>IF(OR(L719="",L719=0),"",ROUND(100/L719,0))</f>
        <v/>
      </c>
      <c r="N719" t="inlineStr"/>
    </row>
    <row r="720">
      <c r="A720" t="n">
        <v>25</v>
      </c>
      <c r="B720" t="inlineStr">
        <is>
          <t>Manshaum Forest</t>
        </is>
      </c>
      <c r="C720" t="inlineStr">
        <is>
          <t>Mass of Pure Magic</t>
        </is>
      </c>
      <c r="D720" t="n">
        <v>1.950225</v>
      </c>
      <c r="E720" t="n">
        <v>5566.4</v>
      </c>
      <c r="F720" s="3" t="n">
        <v>0.3503566039091693</v>
      </c>
      <c r="G720" t="n">
        <v>2854</v>
      </c>
      <c r="H720" s="3" t="n">
        <v>0.3040074145107414</v>
      </c>
      <c r="I720" s="3" t="n">
        <v>0.4017732759002068</v>
      </c>
      <c r="J720" t="n">
        <v>204.8</v>
      </c>
      <c r="K720">
        <f>IF(IFERROR(INDEX(Spots!$K$2:$K$96,MATCH(A720,Spots!$A$2:$A$96,0)),"")="","",IFERROR(INDEX(Spots!$K$2:$K$96,MATCH(A720,Spots!$A$2:$A$96,0)),""))</f>
        <v/>
      </c>
      <c r="L720" s="3">
        <f>IF(OR(K720="",F720=""),"",F720/1000*K720*100)</f>
        <v/>
      </c>
      <c r="M720">
        <f>IF(OR(L720="",L720=0),"",ROUND(100/L720,0))</f>
        <v/>
      </c>
      <c r="N720" t="inlineStr"/>
    </row>
    <row r="721">
      <c r="A721" t="n">
        <v>25</v>
      </c>
      <c r="B721" t="inlineStr">
        <is>
          <t>Manshaum Forest</t>
        </is>
      </c>
      <c r="C721" t="inlineStr">
        <is>
          <t>Guardian Spirit Stone</t>
        </is>
      </c>
      <c r="D721" t="n">
        <v>1.7133</v>
      </c>
      <c r="E721" t="n">
        <v>5566.4</v>
      </c>
      <c r="F721" s="3" t="n">
        <v>0.3077931876976143</v>
      </c>
      <c r="G721" t="n">
        <v>3249</v>
      </c>
      <c r="H721" s="3" t="n">
        <v>0.2644543940559589</v>
      </c>
      <c r="I721" s="3" t="n">
        <v>0.356207040510592</v>
      </c>
      <c r="J721" t="n">
        <v>179.9</v>
      </c>
      <c r="K721">
        <f>IF(IFERROR(INDEX(Spots!$K$2:$K$96,MATCH(A721,Spots!$A$2:$A$96,0)),"")="","",IFERROR(INDEX(Spots!$K$2:$K$96,MATCH(A721,Spots!$A$2:$A$96,0)),""))</f>
        <v/>
      </c>
      <c r="L721" s="3">
        <f>IF(OR(K721="",F721=""),"",F721/1000*K721*100)</f>
        <v/>
      </c>
      <c r="M721">
        <f>IF(OR(L721="",L721=0),"",ROUND(100/L721,0))</f>
        <v/>
      </c>
      <c r="N721" t="inlineStr"/>
    </row>
    <row r="722">
      <c r="A722" t="n">
        <v>25</v>
      </c>
      <c r="B722" t="inlineStr">
        <is>
          <t>Manshaum Forest</t>
        </is>
      </c>
      <c r="C722" t="inlineStr">
        <is>
          <t>Narc's Solace</t>
        </is>
      </c>
      <c r="D722" t="n">
        <v>1.032008</v>
      </c>
      <c r="E722" t="n">
        <v>5566.4</v>
      </c>
      <c r="F722" s="3" t="n">
        <v>0.1853995400977292</v>
      </c>
      <c r="G722" t="n">
        <v>5394</v>
      </c>
      <c r="H722" s="3" t="n">
        <v>0.152135914889542</v>
      </c>
      <c r="I722" s="3" t="n">
        <v>0.2237728404501189</v>
      </c>
      <c r="J722" t="n">
        <v>108.4</v>
      </c>
      <c r="K722">
        <f>IF(IFERROR(INDEX(Spots!$K$2:$K$96,MATCH(A722,Spots!$A$2:$A$96,0)),"")="","",IFERROR(INDEX(Spots!$K$2:$K$96,MATCH(A722,Spots!$A$2:$A$96,0)),""))</f>
        <v/>
      </c>
      <c r="L722" s="3">
        <f>IF(OR(K722="",F722=""),"",F722/1000*K722*100)</f>
        <v/>
      </c>
      <c r="M722">
        <f>IF(OR(L722="",L722=0),"",ROUND(100/L722,0))</f>
        <v/>
      </c>
      <c r="N722" t="inlineStr"/>
    </row>
    <row r="723">
      <c r="A723" t="n">
        <v>25</v>
      </c>
      <c r="B723" t="inlineStr">
        <is>
          <t>Manshaum Forest</t>
        </is>
      </c>
      <c r="C723" t="inlineStr">
        <is>
          <t>Pure Forest Breath</t>
        </is>
      </c>
      <c r="D723" t="n">
        <v>0.6876026200000001</v>
      </c>
      <c r="E723" t="n">
        <v>5566.4</v>
      </c>
      <c r="F723" s="3" t="n">
        <v>0.1235273462201782</v>
      </c>
      <c r="G723" t="n">
        <v>8095</v>
      </c>
      <c r="H723" s="3" t="n">
        <v>0.09668278774593297</v>
      </c>
      <c r="I723" s="3" t="n">
        <v>0.1555159806056692</v>
      </c>
      <c r="J723" t="n">
        <v>72.2</v>
      </c>
      <c r="K723">
        <f>IF(IFERROR(INDEX(Spots!$K$2:$K$96,MATCH(A723,Spots!$A$2:$A$96,0)),"")="","",IFERROR(INDEX(Spots!$K$2:$K$96,MATCH(A723,Spots!$A$2:$A$96,0)),""))</f>
        <v/>
      </c>
      <c r="L723" s="3">
        <f>IF(OR(K723="",F723=""),"",F723/1000*K723*100)</f>
        <v/>
      </c>
      <c r="M723">
        <f>IF(OR(L723="",L723=0),"",ROUND(100/L723,0))</f>
        <v/>
      </c>
      <c r="N723" t="inlineStr"/>
    </row>
    <row r="724">
      <c r="A724" t="n">
        <v>25</v>
      </c>
      <c r="B724" t="inlineStr">
        <is>
          <t>Manshaum Forest</t>
        </is>
      </c>
      <c r="C724" t="inlineStr">
        <is>
          <t>Lemoria Shoes</t>
        </is>
      </c>
      <c r="D724" t="n">
        <v>0.5760714</v>
      </c>
      <c r="E724" t="n">
        <v>5566.4</v>
      </c>
      <c r="F724" s="3" t="n">
        <v>0.1034908378844496</v>
      </c>
      <c r="G724" t="n">
        <v>9663</v>
      </c>
      <c r="H724" s="3" t="n">
        <v>0.07906179346257718</v>
      </c>
      <c r="I724" s="3" t="n">
        <v>0.1330811235428637</v>
      </c>
      <c r="J724" t="n">
        <v>60.5</v>
      </c>
      <c r="K724">
        <f>IF(IFERROR(INDEX(Spots!$K$2:$K$96,MATCH(A724,Spots!$A$2:$A$96,0)),"")="","",IFERROR(INDEX(Spots!$K$2:$K$96,MATCH(A724,Spots!$A$2:$A$96,0)),""))</f>
        <v/>
      </c>
      <c r="L724" s="3">
        <f>IF(OR(K724="",F724=""),"",F724/1000*K724*100)</f>
        <v/>
      </c>
      <c r="M724">
        <f>IF(OR(L724="",L724=0),"",ROUND(100/L724,0))</f>
        <v/>
      </c>
      <c r="N724" t="inlineStr"/>
    </row>
    <row r="725">
      <c r="A725" t="n">
        <v>25</v>
      </c>
      <c r="B725" t="inlineStr">
        <is>
          <t>Manshaum Forest</t>
        </is>
      </c>
      <c r="C725" t="inlineStr">
        <is>
          <t>Lemoria Gloves</t>
        </is>
      </c>
      <c r="D725" t="n">
        <v>0.54780361</v>
      </c>
      <c r="E725" t="n">
        <v>5566.4</v>
      </c>
      <c r="F725" s="3" t="n">
        <v>0.09841254850531762</v>
      </c>
      <c r="G725" t="n">
        <v>10161</v>
      </c>
      <c r="H725" s="3" t="n">
        <v>0.07463216824455871</v>
      </c>
      <c r="I725" s="3" t="n">
        <v>0.1273593129172315</v>
      </c>
      <c r="J725" t="n">
        <v>57.5</v>
      </c>
      <c r="K725">
        <f>IF(IFERROR(INDEX(Spots!$K$2:$K$96,MATCH(A725,Spots!$A$2:$A$96,0)),"")="","",IFERROR(INDEX(Spots!$K$2:$K$96,MATCH(A725,Spots!$A$2:$A$96,0)),""))</f>
        <v/>
      </c>
      <c r="L725" s="3">
        <f>IF(OR(K725="",F725=""),"",F725/1000*K725*100)</f>
        <v/>
      </c>
      <c r="M725">
        <f>IF(OR(L725="",L725=0),"",ROUND(100/L725,0))</f>
        <v/>
      </c>
      <c r="N725" t="inlineStr"/>
    </row>
    <row r="726">
      <c r="A726" t="n">
        <v>25</v>
      </c>
      <c r="B726" t="inlineStr">
        <is>
          <t>Manshaum Forest</t>
        </is>
      </c>
      <c r="C726" t="inlineStr">
        <is>
          <t>Imperfect Lightstone of Earth</t>
        </is>
      </c>
      <c r="D726" t="n">
        <v>0.36297268</v>
      </c>
      <c r="E726" t="n">
        <v>5566.4</v>
      </c>
      <c r="F726" s="3" t="n">
        <v>0.0652077967806841</v>
      </c>
      <c r="G726" t="n">
        <v>15336</v>
      </c>
      <c r="H726" s="3" t="n">
        <v>0.04616436989528582</v>
      </c>
      <c r="I726" s="3" t="n">
        <v>0.08946444794057637</v>
      </c>
      <c r="J726" t="n">
        <v>38.1</v>
      </c>
      <c r="K726">
        <f>IF(IFERROR(INDEX(Spots!$K$2:$K$96,MATCH(A726,Spots!$A$2:$A$96,0)),"")="","",IFERROR(INDEX(Spots!$K$2:$K$96,MATCH(A726,Spots!$A$2:$A$96,0)),""))</f>
        <v/>
      </c>
      <c r="L726" s="3">
        <f>IF(OR(K726="",F726=""),"",F726/1000*K726*100)</f>
        <v/>
      </c>
      <c r="M726">
        <f>IF(OR(L726="",L726=0),"",ROUND(100/L726,0))</f>
        <v/>
      </c>
      <c r="N726" t="inlineStr"/>
    </row>
    <row r="727">
      <c r="A727" t="n">
        <v>25</v>
      </c>
      <c r="B727" t="inlineStr">
        <is>
          <t>Manshaum Forest</t>
        </is>
      </c>
      <c r="C727" t="inlineStr">
        <is>
          <t>Narc Ear Accessory</t>
        </is>
      </c>
      <c r="D727" t="n">
        <v>0.329384</v>
      </c>
      <c r="E727" t="n">
        <v>5566.4</v>
      </c>
      <c r="F727" s="3" t="n">
        <v>0.05917361310721472</v>
      </c>
      <c r="G727" t="n">
        <v>16899</v>
      </c>
      <c r="H727" s="3" t="n">
        <v>0.04111296981968824</v>
      </c>
      <c r="I727" s="3" t="n">
        <v>0.08245986539637397</v>
      </c>
      <c r="J727" t="n">
        <v>34.6</v>
      </c>
      <c r="K727">
        <f>IF(IFERROR(INDEX(Spots!$K$2:$K$96,MATCH(A727,Spots!$A$2:$A$96,0)),"")="","",IFERROR(INDEX(Spots!$K$2:$K$96,MATCH(A727,Spots!$A$2:$A$96,0)),""))</f>
        <v/>
      </c>
      <c r="L727" s="3">
        <f>IF(OR(K727="",F727=""),"",F727/1000*K727*100)</f>
        <v/>
      </c>
      <c r="M727">
        <f>IF(OR(L727="",L727=0),"",ROUND(100/L727,0))</f>
        <v/>
      </c>
      <c r="N727" t="inlineStr"/>
    </row>
    <row r="728">
      <c r="A728" t="n">
        <v>25</v>
      </c>
      <c r="B728" t="inlineStr">
        <is>
          <t>Manshaum Forest</t>
        </is>
      </c>
      <c r="C728" t="inlineStr">
        <is>
          <t>Forest Fury</t>
        </is>
      </c>
      <c r="D728" t="n">
        <v>0.26225273</v>
      </c>
      <c r="E728" t="n">
        <v>5566.4</v>
      </c>
      <c r="F728" s="3" t="n">
        <v>0.047113525797643</v>
      </c>
      <c r="G728" t="n">
        <v>21225</v>
      </c>
      <c r="H728" s="3" t="n">
        <v>0.03118105167262683</v>
      </c>
      <c r="I728" s="3" t="n">
        <v>0.06830287244143841</v>
      </c>
      <c r="J728" t="n">
        <v>27.5</v>
      </c>
      <c r="K728">
        <f>IF(IFERROR(INDEX(Spots!$K$2:$K$96,MATCH(A728,Spots!$A$2:$A$96,0)),"")="","",IFERROR(INDEX(Spots!$K$2:$K$96,MATCH(A728,Spots!$A$2:$A$96,0)),""))</f>
        <v/>
      </c>
      <c r="L728" s="3">
        <f>IF(OR(K728="",F728=""),"",F728/1000*K728*100)</f>
        <v/>
      </c>
      <c r="M728">
        <f>IF(OR(L728="",L728=0),"",ROUND(100/L728,0))</f>
        <v/>
      </c>
      <c r="N728" t="inlineStr">
        <is>
          <t>low sample</t>
        </is>
      </c>
    </row>
    <row r="729">
      <c r="A729" t="n">
        <v>25</v>
      </c>
      <c r="B729" t="inlineStr">
        <is>
          <t>Manshaum Forest</t>
        </is>
      </c>
      <c r="C729" t="inlineStr">
        <is>
          <t>Any Artifact</t>
        </is>
      </c>
      <c r="D729" t="n">
        <v>0.09783997</v>
      </c>
      <c r="E729" t="n">
        <v>5566.4</v>
      </c>
      <c r="F729" s="3" t="n">
        <v>0.0175768845214142</v>
      </c>
      <c r="G729" t="n">
        <v>56893</v>
      </c>
      <c r="H729" s="3" t="n">
        <v>0.008513890541739372</v>
      </c>
      <c r="I729" s="3" t="n">
        <v>0.03207311476714255</v>
      </c>
      <c r="J729" t="n">
        <v>10.3</v>
      </c>
      <c r="K729">
        <f>IF(IFERROR(INDEX(Spots!$K$2:$K$96,MATCH(A729,Spots!$A$2:$A$96,0)),"")="","",IFERROR(INDEX(Spots!$K$2:$K$96,MATCH(A729,Spots!$A$2:$A$96,0)),""))</f>
        <v/>
      </c>
      <c r="L729" s="3">
        <f>IF(OR(K729="",F729=""),"",F729/1000*K729*100)</f>
        <v/>
      </c>
      <c r="M729">
        <f>IF(OR(L729="",L729=0),"",ROUND(100/L729,0))</f>
        <v/>
      </c>
      <c r="N729" t="inlineStr">
        <is>
          <t>low sample</t>
        </is>
      </c>
    </row>
    <row r="730">
      <c r="A730" t="n">
        <v>25</v>
      </c>
      <c r="B730" t="inlineStr">
        <is>
          <t>Manshaum Forest</t>
        </is>
      </c>
      <c r="C730" t="inlineStr">
        <is>
          <t>Imperfect Lightstone of Fire</t>
        </is>
      </c>
      <c r="D730" t="n">
        <v>0.05377822</v>
      </c>
      <c r="E730" t="n">
        <v>5566.4</v>
      </c>
      <c r="F730" s="3" t="n">
        <v>0.009661220896809429</v>
      </c>
      <c r="G730" t="n">
        <v>103507</v>
      </c>
      <c r="H730" s="3" t="n">
        <v>0.003390844506996849</v>
      </c>
      <c r="I730" s="3" t="n">
        <v>0.02150967848455648</v>
      </c>
      <c r="J730" t="n">
        <v>5.6</v>
      </c>
      <c r="K730">
        <f>IF(IFERROR(INDEX(Spots!$K$2:$K$96,MATCH(A730,Spots!$A$2:$A$96,0)),"")="","",IFERROR(INDEX(Spots!$K$2:$K$96,MATCH(A730,Spots!$A$2:$A$96,0)),""))</f>
        <v/>
      </c>
      <c r="L730" s="3">
        <f>IF(OR(K730="",F730=""),"",F730/1000*K730*100)</f>
        <v/>
      </c>
      <c r="M730">
        <f>IF(OR(L730="",L730=0),"",ROUND(100/L730,0))</f>
        <v/>
      </c>
      <c r="N730" t="inlineStr">
        <is>
          <t>low sample</t>
        </is>
      </c>
    </row>
    <row r="731">
      <c r="A731" t="n">
        <v>25</v>
      </c>
      <c r="B731" t="inlineStr">
        <is>
          <t>Manshaum Forest</t>
        </is>
      </c>
      <c r="C731" t="inlineStr">
        <is>
          <t>Imperfect Lightstone of Wind</t>
        </is>
      </c>
      <c r="D731" t="n">
        <v>0.05116037</v>
      </c>
      <c r="E731" t="n">
        <v>5566.4</v>
      </c>
      <c r="F731" s="3" t="n">
        <v>0.009190925912618568</v>
      </c>
      <c r="G731" t="n">
        <v>108803</v>
      </c>
      <c r="H731" s="3" t="n">
        <v>0.00311789407437046</v>
      </c>
      <c r="I731" s="3" t="n">
        <v>0.02085549220355642</v>
      </c>
      <c r="J731" t="n">
        <v>5.4</v>
      </c>
      <c r="K731">
        <f>IF(IFERROR(INDEX(Spots!$K$2:$K$96,MATCH(A731,Spots!$A$2:$A$96,0)),"")="","",IFERROR(INDEX(Spots!$K$2:$K$96,MATCH(A731,Spots!$A$2:$A$96,0)),""))</f>
        <v/>
      </c>
      <c r="L731" s="3">
        <f>IF(OR(K731="",F731=""),"",F731/1000*K731*100)</f>
        <v/>
      </c>
      <c r="M731">
        <f>IF(OR(L731="",L731=0),"",ROUND(100/L731,0))</f>
        <v/>
      </c>
      <c r="N731" t="inlineStr">
        <is>
          <t>low sample</t>
        </is>
      </c>
    </row>
    <row r="732">
      <c r="A732" t="n">
        <v>25</v>
      </c>
      <c r="B732" t="inlineStr">
        <is>
          <t>Manshaum Forest</t>
        </is>
      </c>
      <c r="C732" t="inlineStr">
        <is>
          <t>Specter's Energy</t>
        </is>
      </c>
      <c r="D732" t="n">
        <v>0.04314217</v>
      </c>
      <c r="E732" t="n">
        <v>5566.4</v>
      </c>
      <c r="F732" s="3" t="n">
        <v>0.007750461698764014</v>
      </c>
      <c r="G732" t="n">
        <v>129025</v>
      </c>
      <c r="H732" s="3" t="n">
        <v>0.002315498860634591</v>
      </c>
      <c r="I732" s="3" t="n">
        <v>0.01882447629714607</v>
      </c>
      <c r="J732" t="n">
        <v>4.5</v>
      </c>
      <c r="K732">
        <f>IF(IFERROR(INDEX(Spots!$K$2:$K$96,MATCH(A732,Spots!$A$2:$A$96,0)),"")="","",IFERROR(INDEX(Spots!$K$2:$K$96,MATCH(A732,Spots!$A$2:$A$96,0)),""))</f>
        <v/>
      </c>
      <c r="L732" s="3">
        <f>IF(OR(K732="",F732=""),"",F732/1000*K732*100)</f>
        <v/>
      </c>
      <c r="M732">
        <f>IF(OR(L732="",L732=0),"",ROUND(100/L732,0))</f>
        <v/>
      </c>
      <c r="N732" t="inlineStr">
        <is>
          <t>low sample</t>
        </is>
      </c>
    </row>
    <row r="733">
      <c r="A733" t="n">
        <v>25</v>
      </c>
      <c r="B733" t="inlineStr">
        <is>
          <t>Manshaum Forest</t>
        </is>
      </c>
      <c r="C733" t="inlineStr">
        <is>
          <t>Great Marni's Stone (Manshaum)</t>
        </is>
      </c>
      <c r="D733" t="n">
        <v>0.01985327</v>
      </c>
      <c r="E733" t="n">
        <v>5566.4</v>
      </c>
      <c r="F733" s="3" t="n">
        <v>0.003566626544984191</v>
      </c>
      <c r="G733" t="n">
        <v>280377</v>
      </c>
      <c r="H733" s="3" t="n">
        <v>0.0004304747672871649</v>
      </c>
      <c r="I733" s="3" t="n">
        <v>0.01258423669543254</v>
      </c>
      <c r="J733" t="n">
        <v>2.1</v>
      </c>
      <c r="K733">
        <f>IF(IFERROR(INDEX(Spots!$K$2:$K$96,MATCH(A733,Spots!$A$2:$A$96,0)),"")="","",IFERROR(INDEX(Spots!$K$2:$K$96,MATCH(A733,Spots!$A$2:$A$96,0)),""))</f>
        <v/>
      </c>
      <c r="L733" s="3">
        <f>IF(OR(K733="",F733=""),"",F733/1000*K733*100)</f>
        <v/>
      </c>
      <c r="M733">
        <f>IF(OR(L733="",L733=0),"",ROUND(100/L733,0))</f>
        <v/>
      </c>
      <c r="N733" t="inlineStr">
        <is>
          <t>low sample</t>
        </is>
      </c>
    </row>
    <row r="734">
      <c r="A734" t="n">
        <v>25</v>
      </c>
      <c r="B734" t="inlineStr">
        <is>
          <t>Manshaum Forest</t>
        </is>
      </c>
      <c r="C734" t="inlineStr">
        <is>
          <t>Ancient Narc's Crimson Tear</t>
        </is>
      </c>
      <c r="D734" t="n">
        <v>0.00614439</v>
      </c>
      <c r="E734" t="n">
        <v>5566.4</v>
      </c>
      <c r="F734" s="3" t="n">
        <v>0.001103835513078471</v>
      </c>
      <c r="G734" t="n">
        <v>905932</v>
      </c>
      <c r="H734" s="3" t="n">
        <v>3.285082521818979e-09</v>
      </c>
      <c r="I734" s="3" t="n">
        <v>0.008436952974574153</v>
      </c>
      <c r="J734" t="n">
        <v>0.6</v>
      </c>
      <c r="K734">
        <f>IF(IFERROR(INDEX(Spots!$K$2:$K$96,MATCH(A734,Spots!$A$2:$A$96,0)),"")="","",IFERROR(INDEX(Spots!$K$2:$K$96,MATCH(A734,Spots!$A$2:$A$96,0)),""))</f>
        <v/>
      </c>
      <c r="L734" s="3">
        <f>IF(OR(K734="",F734=""),"",F734/1000*K734*100)</f>
        <v/>
      </c>
      <c r="M734">
        <f>IF(OR(L734="",L734=0),"",ROUND(100/L734,0))</f>
        <v/>
      </c>
      <c r="N734" t="inlineStr">
        <is>
          <t>low sample</t>
        </is>
      </c>
    </row>
    <row r="735">
      <c r="A735" t="n">
        <v>28</v>
      </c>
      <c r="B735" t="inlineStr">
        <is>
          <t>Mirumok Ruins</t>
        </is>
      </c>
      <c r="C735" t="inlineStr">
        <is>
          <t>Black Stone</t>
        </is>
      </c>
      <c r="D735" t="n">
        <v>21.14</v>
      </c>
      <c r="E735" t="n">
        <v>5539.7</v>
      </c>
      <c r="F735" s="3" t="n">
        <v>3.816091124068091</v>
      </c>
      <c r="G735" t="n">
        <v>262</v>
      </c>
      <c r="H735" s="3" t="n">
        <v>3.685300388829317</v>
      </c>
      <c r="I735" s="3" t="n">
        <v>3.950338180857166</v>
      </c>
      <c r="J735" t="n">
        <v>3214.7</v>
      </c>
      <c r="K735">
        <f>IF(IFERROR(INDEX(Spots!$K$2:$K$96,MATCH(A735,Spots!$A$2:$A$96,0)),"")="","",IFERROR(INDEX(Spots!$K$2:$K$96,MATCH(A735,Spots!$A$2:$A$96,0)),""))</f>
        <v/>
      </c>
      <c r="L735" s="3">
        <f>IF(OR(K735="",F735=""),"",F735/1000*K735*100)</f>
        <v/>
      </c>
      <c r="M735">
        <f>IF(OR(L735="",L735=0),"",ROUND(100/L735,0))</f>
        <v/>
      </c>
      <c r="N735" t="inlineStr"/>
    </row>
    <row r="736">
      <c r="A736" t="n">
        <v>28</v>
      </c>
      <c r="B736" t="inlineStr">
        <is>
          <t>Mirumok Ruins</t>
        </is>
      </c>
      <c r="C736" t="inlineStr">
        <is>
          <t>Ancient Spirit Dust</t>
        </is>
      </c>
      <c r="D736" t="n">
        <v>10.385</v>
      </c>
      <c r="E736" t="n">
        <v>5539.7</v>
      </c>
      <c r="F736" s="3" t="n">
        <v>1.87465025181869</v>
      </c>
      <c r="G736" t="n">
        <v>533</v>
      </c>
      <c r="H736" s="3" t="n">
        <v>1.783318791480902</v>
      </c>
      <c r="I736" s="3" t="n">
        <v>1.969446707354951</v>
      </c>
      <c r="J736" t="n">
        <v>1579.2</v>
      </c>
      <c r="K736">
        <f>IF(IFERROR(INDEX(Spots!$K$2:$K$96,MATCH(A736,Spots!$A$2:$A$96,0)),"")="","",IFERROR(INDEX(Spots!$K$2:$K$96,MATCH(A736,Spots!$A$2:$A$96,0)),""))</f>
        <v/>
      </c>
      <c r="L736" s="3">
        <f>IF(OR(K736="",F736=""),"",F736/1000*K736*100)</f>
        <v/>
      </c>
      <c r="M736">
        <f>IF(OR(L736="",L736=0),"",ROUND(100/L736,0))</f>
        <v/>
      </c>
      <c r="N736" t="inlineStr"/>
    </row>
    <row r="737">
      <c r="A737" t="n">
        <v>28</v>
      </c>
      <c r="B737" t="inlineStr">
        <is>
          <t>Mirumok Ruins</t>
        </is>
      </c>
      <c r="C737" t="inlineStr">
        <is>
          <t>Caphras Stone</t>
        </is>
      </c>
      <c r="D737" t="n">
        <v>9.044280000000001</v>
      </c>
      <c r="E737" t="n">
        <v>5539.7</v>
      </c>
      <c r="F737" s="3" t="n">
        <v>1.632629925808257</v>
      </c>
      <c r="G737" t="n">
        <v>613</v>
      </c>
      <c r="H737" s="3" t="n">
        <v>1.547473355589514</v>
      </c>
      <c r="I737" s="3" t="n">
        <v>1.721253561906602</v>
      </c>
      <c r="J737" t="n">
        <v>1375.3</v>
      </c>
      <c r="K737">
        <f>IF(IFERROR(INDEX(Spots!$K$2:$K$96,MATCH(A737,Spots!$A$2:$A$96,0)),"")="","",IFERROR(INDEX(Spots!$K$2:$K$96,MATCH(A737,Spots!$A$2:$A$96,0)),""))</f>
        <v/>
      </c>
      <c r="L737" s="3">
        <f>IF(OR(K737="",F737=""),"",F737/1000*K737*100)</f>
        <v/>
      </c>
      <c r="M737">
        <f>IF(OR(L737="",L737=0),"",ROUND(100/L737,0))</f>
        <v/>
      </c>
      <c r="N737" t="inlineStr"/>
    </row>
    <row r="738">
      <c r="A738" t="n">
        <v>28</v>
      </c>
      <c r="B738" t="inlineStr">
        <is>
          <t>Mirumok Ruins</t>
        </is>
      </c>
      <c r="C738" t="inlineStr">
        <is>
          <t>Tree Spirit Stone Fragment</t>
        </is>
      </c>
      <c r="D738" t="n">
        <v>6.724725</v>
      </c>
      <c r="E738" t="n">
        <v>5539.7</v>
      </c>
      <c r="F738" s="3" t="n">
        <v>1.213915013448382</v>
      </c>
      <c r="G738" t="n">
        <v>824</v>
      </c>
      <c r="H738" s="3" t="n">
        <v>1.140642171733268</v>
      </c>
      <c r="I738" s="3" t="n">
        <v>1.290659866242408</v>
      </c>
      <c r="J738" t="n">
        <v>1022.6</v>
      </c>
      <c r="K738">
        <f>IF(IFERROR(INDEX(Spots!$K$2:$K$96,MATCH(A738,Spots!$A$2:$A$96,0)),"")="","",IFERROR(INDEX(Spots!$K$2:$K$96,MATCH(A738,Spots!$A$2:$A$96,0)),""))</f>
        <v/>
      </c>
      <c r="L738" s="3">
        <f>IF(OR(K738="",F738=""),"",F738/1000*K738*100)</f>
        <v/>
      </c>
      <c r="M738">
        <f>IF(OR(L738="",L738=0),"",ROUND(100/L738,0))</f>
        <v/>
      </c>
      <c r="N738" t="inlineStr"/>
    </row>
    <row r="739">
      <c r="A739" t="n">
        <v>28</v>
      </c>
      <c r="B739" t="inlineStr">
        <is>
          <t>Mirumok Ruins</t>
        </is>
      </c>
      <c r="C739" t="inlineStr">
        <is>
          <t>Rumbling Earth Shard</t>
        </is>
      </c>
      <c r="D739" t="n">
        <v>4.369803</v>
      </c>
      <c r="E739" t="n">
        <v>5539.7</v>
      </c>
      <c r="F739" s="3" t="n">
        <v>0.7888158203512826</v>
      </c>
      <c r="G739" t="n">
        <v>1268</v>
      </c>
      <c r="H739" s="3" t="n">
        <v>0.7299703852812039</v>
      </c>
      <c r="I739" s="3" t="n">
        <v>0.8511418796419622</v>
      </c>
      <c r="J739" t="n">
        <v>664.5</v>
      </c>
      <c r="K739">
        <f>IF(IFERROR(INDEX(Spots!$K$2:$K$96,MATCH(A739,Spots!$A$2:$A$96,0)),"")="","",IFERROR(INDEX(Spots!$K$2:$K$96,MATCH(A739,Spots!$A$2:$A$96,0)),""))</f>
        <v/>
      </c>
      <c r="L739" s="3">
        <f>IF(OR(K739="",F739=""),"",F739/1000*K739*100)</f>
        <v/>
      </c>
      <c r="M739">
        <f>IF(OR(L739="",L739=0),"",ROUND(100/L739,0))</f>
        <v/>
      </c>
      <c r="N739" t="inlineStr"/>
    </row>
    <row r="740">
      <c r="A740" t="n">
        <v>28</v>
      </c>
      <c r="B740" t="inlineStr">
        <is>
          <t>Mirumok Ruins</t>
        </is>
      </c>
      <c r="C740" t="inlineStr">
        <is>
          <t>Manshaum Voodoo Doll</t>
        </is>
      </c>
      <c r="D740" t="n">
        <v>2.971643</v>
      </c>
      <c r="E740" t="n">
        <v>5539.7</v>
      </c>
      <c r="F740" s="3" t="n">
        <v>0.5364267018069571</v>
      </c>
      <c r="G740" t="n">
        <v>1864</v>
      </c>
      <c r="H740" s="3" t="n">
        <v>0.4880999131820588</v>
      </c>
      <c r="I740" s="3" t="n">
        <v>0.5882435253816855</v>
      </c>
      <c r="J740" t="n">
        <v>451.9</v>
      </c>
      <c r="K740">
        <f>IF(IFERROR(INDEX(Spots!$K$2:$K$96,MATCH(A740,Spots!$A$2:$A$96,0)),"")="","",IFERROR(INDEX(Spots!$K$2:$K$96,MATCH(A740,Spots!$A$2:$A$96,0)),""))</f>
        <v/>
      </c>
      <c r="L740" s="3">
        <f>IF(OR(K740="",F740=""),"",F740/1000*K740*100)</f>
        <v/>
      </c>
      <c r="M740">
        <f>IF(OR(L740="",L740=0),"",ROUND(100/L740,0))</f>
        <v/>
      </c>
      <c r="N740" t="inlineStr"/>
    </row>
    <row r="741">
      <c r="A741" t="n">
        <v>28</v>
      </c>
      <c r="B741" t="inlineStr">
        <is>
          <t>Mirumok Ruins</t>
        </is>
      </c>
      <c r="C741" t="inlineStr">
        <is>
          <t>Swaying Wind Shard</t>
        </is>
      </c>
      <c r="D741" t="n">
        <v>2.877317</v>
      </c>
      <c r="E741" t="n">
        <v>5539.7</v>
      </c>
      <c r="F741" s="3" t="n">
        <v>0.5193994259616947</v>
      </c>
      <c r="G741" t="n">
        <v>1925</v>
      </c>
      <c r="H741" s="3" t="n">
        <v>0.4718640755985503</v>
      </c>
      <c r="I741" s="3" t="n">
        <v>0.5704256819576914</v>
      </c>
      <c r="J741" t="n">
        <v>437.5</v>
      </c>
      <c r="K741">
        <f>IF(IFERROR(INDEX(Spots!$K$2:$K$96,MATCH(A741,Spots!$A$2:$A$96,0)),"")="","",IFERROR(INDEX(Spots!$K$2:$K$96,MATCH(A741,Spots!$A$2:$A$96,0)),""))</f>
        <v/>
      </c>
      <c r="L741" s="3">
        <f>IF(OR(K741="",F741=""),"",F741/1000*K741*100)</f>
        <v/>
      </c>
      <c r="M741">
        <f>IF(OR(L741="",L741=0),"",ROUND(100/L741,0))</f>
        <v/>
      </c>
      <c r="N741" t="inlineStr"/>
    </row>
    <row r="742">
      <c r="A742" t="n">
        <v>28</v>
      </c>
      <c r="B742" t="inlineStr">
        <is>
          <t>Mirumok Ruins</t>
        </is>
      </c>
      <c r="C742" t="inlineStr">
        <is>
          <t>Destruction Spirit Stone</t>
        </is>
      </c>
      <c r="D742" t="n">
        <v>2.693681</v>
      </c>
      <c r="E742" t="n">
        <v>5539.7</v>
      </c>
      <c r="F742" s="3" t="n">
        <v>0.4862503384659819</v>
      </c>
      <c r="G742" t="n">
        <v>2057</v>
      </c>
      <c r="H742" s="3" t="n">
        <v>0.4402939247384289</v>
      </c>
      <c r="I742" s="3" t="n">
        <v>0.5356994812158405</v>
      </c>
      <c r="J742" t="n">
        <v>409.6</v>
      </c>
      <c r="K742">
        <f>IF(IFERROR(INDEX(Spots!$K$2:$K$96,MATCH(A742,Spots!$A$2:$A$96,0)),"")="","",IFERROR(INDEX(Spots!$K$2:$K$96,MATCH(A742,Spots!$A$2:$A$96,0)),""))</f>
        <v/>
      </c>
      <c r="L742" s="3">
        <f>IF(OR(K742="",F742=""),"",F742/1000*K742*100)</f>
        <v/>
      </c>
      <c r="M742">
        <f>IF(OR(L742="",L742=0),"",ROUND(100/L742,0))</f>
        <v/>
      </c>
      <c r="N742" t="inlineStr"/>
    </row>
    <row r="743">
      <c r="A743" t="n">
        <v>28</v>
      </c>
      <c r="B743" t="inlineStr">
        <is>
          <t>Mirumok Ruins</t>
        </is>
      </c>
      <c r="C743" t="inlineStr">
        <is>
          <t>Pure Forest Breath</t>
        </is>
      </c>
      <c r="D743" t="n">
        <v>1.041984</v>
      </c>
      <c r="E743" t="n">
        <v>5539.7</v>
      </c>
      <c r="F743" s="3" t="n">
        <v>0.1880939401050598</v>
      </c>
      <c r="G743" t="n">
        <v>5316</v>
      </c>
      <c r="H743" s="3" t="n">
        <v>0.1599447448298379</v>
      </c>
      <c r="I743" s="3" t="n">
        <v>0.2197697648276159</v>
      </c>
      <c r="J743" t="n">
        <v>158.5</v>
      </c>
      <c r="K743">
        <f>IF(IFERROR(INDEX(Spots!$K$2:$K$96,MATCH(A743,Spots!$A$2:$A$96,0)),"")="","",IFERROR(INDEX(Spots!$K$2:$K$96,MATCH(A743,Spots!$A$2:$A$96,0)),""))</f>
        <v/>
      </c>
      <c r="L743" s="3">
        <f>IF(OR(K743="",F743=""),"",F743/1000*K743*100)</f>
        <v/>
      </c>
      <c r="M743">
        <f>IF(OR(L743="",L743=0),"",ROUND(100/L743,0))</f>
        <v/>
      </c>
      <c r="N743" t="inlineStr"/>
    </row>
    <row r="744">
      <c r="A744" t="n">
        <v>28</v>
      </c>
      <c r="B744" t="inlineStr">
        <is>
          <t>Mirumok Ruins</t>
        </is>
      </c>
      <c r="C744" t="inlineStr">
        <is>
          <t>Mass of Pure Magic</t>
        </is>
      </c>
      <c r="D744" t="n">
        <v>1.040471</v>
      </c>
      <c r="E744" t="n">
        <v>5539.7</v>
      </c>
      <c r="F744" s="3" t="n">
        <v>0.1878208206220553</v>
      </c>
      <c r="G744" t="n">
        <v>5324</v>
      </c>
      <c r="H744" s="3" t="n">
        <v>0.159692905959459</v>
      </c>
      <c r="I744" s="3" t="n">
        <v>0.2194754294074346</v>
      </c>
      <c r="J744" t="n">
        <v>158.2</v>
      </c>
      <c r="K744">
        <f>IF(IFERROR(INDEX(Spots!$K$2:$K$96,MATCH(A744,Spots!$A$2:$A$96,0)),"")="","",IFERROR(INDEX(Spots!$K$2:$K$96,MATCH(A744,Spots!$A$2:$A$96,0)),""))</f>
        <v/>
      </c>
      <c r="L744" s="3">
        <f>IF(OR(K744="",F744=""),"",F744/1000*K744*100)</f>
        <v/>
      </c>
      <c r="M744">
        <f>IF(OR(L744="",L744=0),"",ROUND(100/L744,0))</f>
        <v/>
      </c>
      <c r="N744" t="inlineStr"/>
    </row>
    <row r="745">
      <c r="A745" t="n">
        <v>28</v>
      </c>
      <c r="B745" t="inlineStr">
        <is>
          <t>Mirumok Ruins</t>
        </is>
      </c>
      <c r="C745" t="inlineStr">
        <is>
          <t>Atanis' Element</t>
        </is>
      </c>
      <c r="D745" t="n">
        <v>0.7461956</v>
      </c>
      <c r="E745" t="n">
        <v>5539.7</v>
      </c>
      <c r="F745" s="3" t="n">
        <v>0.1346996407747712</v>
      </c>
      <c r="G745" t="n">
        <v>7424</v>
      </c>
      <c r="H745" s="3" t="n">
        <v>0.1110559355608973</v>
      </c>
      <c r="I745" s="3" t="n">
        <v>0.1618860821983618</v>
      </c>
      <c r="J745" t="n">
        <v>113.5</v>
      </c>
      <c r="K745">
        <f>IF(IFERROR(INDEX(Spots!$K$2:$K$96,MATCH(A745,Spots!$A$2:$A$96,0)),"")="","",IFERROR(INDEX(Spots!$K$2:$K$96,MATCH(A745,Spots!$A$2:$A$96,0)),""))</f>
        <v/>
      </c>
      <c r="L745" s="3">
        <f>IF(OR(K745="",F745=""),"",F745/1000*K745*100)</f>
        <v/>
      </c>
      <c r="M745">
        <f>IF(OR(L745="",L745=0),"",ROUND(100/L745,0))</f>
        <v/>
      </c>
      <c r="N745" t="inlineStr"/>
    </row>
    <row r="746">
      <c r="A746" t="n">
        <v>28</v>
      </c>
      <c r="B746" t="inlineStr">
        <is>
          <t>Mirumok Ruins</t>
        </is>
      </c>
      <c r="C746" t="inlineStr">
        <is>
          <t>Lemoria Helmet</t>
        </is>
      </c>
      <c r="D746" t="n">
        <v>0.4067305</v>
      </c>
      <c r="E746" t="n">
        <v>5539.7</v>
      </c>
      <c r="F746" s="3" t="n">
        <v>0.07342103362997995</v>
      </c>
      <c r="G746" t="n">
        <v>13620</v>
      </c>
      <c r="H746" s="3" t="n">
        <v>0.0562688980316028</v>
      </c>
      <c r="I746" s="3" t="n">
        <v>0.0941525602197916</v>
      </c>
      <c r="J746" t="n">
        <v>61.9</v>
      </c>
      <c r="K746">
        <f>IF(IFERROR(INDEX(Spots!$K$2:$K$96,MATCH(A746,Spots!$A$2:$A$96,0)),"")="","",IFERROR(INDEX(Spots!$K$2:$K$96,MATCH(A746,Spots!$A$2:$A$96,0)),""))</f>
        <v/>
      </c>
      <c r="L746" s="3">
        <f>IF(OR(K746="",F746=""),"",F746/1000*K746*100)</f>
        <v/>
      </c>
      <c r="M746">
        <f>IF(OR(L746="",L746=0),"",ROUND(100/L746,0))</f>
        <v/>
      </c>
      <c r="N746" t="inlineStr"/>
    </row>
    <row r="747">
      <c r="A747" t="n">
        <v>28</v>
      </c>
      <c r="B747" t="inlineStr">
        <is>
          <t>Mirumok Ruins</t>
        </is>
      </c>
      <c r="C747" t="inlineStr">
        <is>
          <t>Imperfect Lightstone of Wind</t>
        </is>
      </c>
      <c r="D747" t="n">
        <v>0.35193952</v>
      </c>
      <c r="E747" t="n">
        <v>5539.7</v>
      </c>
      <c r="F747" s="3" t="n">
        <v>0.06353042944563785</v>
      </c>
      <c r="G747" t="n">
        <v>15740</v>
      </c>
      <c r="H747" s="3" t="n">
        <v>0.04765677819887754</v>
      </c>
      <c r="I747" s="3" t="n">
        <v>0.08299385324365068</v>
      </c>
      <c r="J747" t="n">
        <v>53.5</v>
      </c>
      <c r="K747">
        <f>IF(IFERROR(INDEX(Spots!$K$2:$K$96,MATCH(A747,Spots!$A$2:$A$96,0)),"")="","",IFERROR(INDEX(Spots!$K$2:$K$96,MATCH(A747,Spots!$A$2:$A$96,0)),""))</f>
        <v/>
      </c>
      <c r="L747" s="3">
        <f>IF(OR(K747="",F747=""),"",F747/1000*K747*100)</f>
        <v/>
      </c>
      <c r="M747">
        <f>IF(OR(L747="",L747=0),"",ROUND(100/L747,0))</f>
        <v/>
      </c>
      <c r="N747" t="inlineStr"/>
    </row>
    <row r="748">
      <c r="A748" t="n">
        <v>28</v>
      </c>
      <c r="B748" t="inlineStr">
        <is>
          <t>Mirumok Ruins</t>
        </is>
      </c>
      <c r="C748" t="inlineStr">
        <is>
          <t>Valtarra Eclipsed Belt</t>
        </is>
      </c>
      <c r="D748" t="n">
        <v>0.31832574</v>
      </c>
      <c r="E748" t="n">
        <v>5539.7</v>
      </c>
      <c r="F748" s="3" t="n">
        <v>0.05746263155044497</v>
      </c>
      <c r="G748" t="n">
        <v>17403</v>
      </c>
      <c r="H748" s="3" t="n">
        <v>0.04242326728929863</v>
      </c>
      <c r="I748" s="3" t="n">
        <v>0.07609938816639494</v>
      </c>
      <c r="J748" t="n">
        <v>48.4</v>
      </c>
      <c r="K748">
        <f>IF(IFERROR(INDEX(Spots!$K$2:$K$96,MATCH(A748,Spots!$A$2:$A$96,0)),"")="","",IFERROR(INDEX(Spots!$K$2:$K$96,MATCH(A748,Spots!$A$2:$A$96,0)),""))</f>
        <v/>
      </c>
      <c r="L748" s="3">
        <f>IF(OR(K748="",F748=""),"",F748/1000*K748*100)</f>
        <v/>
      </c>
      <c r="M748">
        <f>IF(OR(L748="",L748=0),"",ROUND(100/L748,0))</f>
        <v/>
      </c>
      <c r="N748" t="inlineStr"/>
    </row>
    <row r="749">
      <c r="A749" t="n">
        <v>28</v>
      </c>
      <c r="B749" t="inlineStr">
        <is>
          <t>Mirumok Ruins</t>
        </is>
      </c>
      <c r="C749" t="inlineStr">
        <is>
          <t>Forest Fury</t>
        </is>
      </c>
      <c r="D749" t="n">
        <v>0.22055312</v>
      </c>
      <c r="E749" t="n">
        <v>5539.7</v>
      </c>
      <c r="F749" s="3" t="n">
        <v>0.03981318843980721</v>
      </c>
      <c r="G749" t="n">
        <v>25117</v>
      </c>
      <c r="H749" s="3" t="n">
        <v>0.027491432864972</v>
      </c>
      <c r="I749" s="3" t="n">
        <v>0.05576334569850613</v>
      </c>
      <c r="J749" t="n">
        <v>33.5</v>
      </c>
      <c r="K749">
        <f>IF(IFERROR(INDEX(Spots!$K$2:$K$96,MATCH(A749,Spots!$A$2:$A$96,0)),"")="","",IFERROR(INDEX(Spots!$K$2:$K$96,MATCH(A749,Spots!$A$2:$A$96,0)),""))</f>
        <v/>
      </c>
      <c r="L749" s="3">
        <f>IF(OR(K749="",F749=""),"",F749/1000*K749*100)</f>
        <v/>
      </c>
      <c r="M749">
        <f>IF(OR(L749="",L749=0),"",ROUND(100/L749,0))</f>
        <v/>
      </c>
      <c r="N749" t="inlineStr"/>
    </row>
    <row r="750">
      <c r="A750" t="n">
        <v>28</v>
      </c>
      <c r="B750" t="inlineStr">
        <is>
          <t>Mirumok Ruins</t>
        </is>
      </c>
      <c r="C750" t="inlineStr">
        <is>
          <t>Any Artifact</t>
        </is>
      </c>
      <c r="D750" t="n">
        <v>0.18751499</v>
      </c>
      <c r="E750" t="n">
        <v>5539.7</v>
      </c>
      <c r="F750" s="3" t="n">
        <v>0.03384930411394119</v>
      </c>
      <c r="G750" t="n">
        <v>29543</v>
      </c>
      <c r="H750" s="3" t="n">
        <v>0.02257969694724904</v>
      </c>
      <c r="I750" s="3" t="n">
        <v>0.04876274044907886</v>
      </c>
      <c r="J750" t="n">
        <v>28.5</v>
      </c>
      <c r="K750">
        <f>IF(IFERROR(INDEX(Spots!$K$2:$K$96,MATCH(A750,Spots!$A$2:$A$96,0)),"")="","",IFERROR(INDEX(Spots!$K$2:$K$96,MATCH(A750,Spots!$A$2:$A$96,0)),""))</f>
        <v/>
      </c>
      <c r="L750" s="3">
        <f>IF(OR(K750="",F750=""),"",F750/1000*K750*100)</f>
        <v/>
      </c>
      <c r="M750">
        <f>IF(OR(L750="",L750=0),"",ROUND(100/L750,0))</f>
        <v/>
      </c>
      <c r="N750" t="inlineStr">
        <is>
          <t>low sample</t>
        </is>
      </c>
    </row>
    <row r="751">
      <c r="A751" t="n">
        <v>28</v>
      </c>
      <c r="B751" t="inlineStr">
        <is>
          <t>Mirumok Ruins</t>
        </is>
      </c>
      <c r="C751" t="inlineStr">
        <is>
          <t>Krogdalo's Origin Stone</t>
        </is>
      </c>
      <c r="D751" t="n">
        <v>0.07844957</v>
      </c>
      <c r="E751" t="n">
        <v>5539.7</v>
      </c>
      <c r="F751" s="3" t="n">
        <v>0.01416133906168204</v>
      </c>
      <c r="G751" t="n">
        <v>70615</v>
      </c>
      <c r="H751" s="3" t="n">
        <v>0.007292259004507233</v>
      </c>
      <c r="I751" s="3" t="n">
        <v>0.02477822945123072</v>
      </c>
      <c r="J751" t="n">
        <v>11.9</v>
      </c>
      <c r="K751">
        <f>IF(IFERROR(INDEX(Spots!$K$2:$K$96,MATCH(A751,Spots!$A$2:$A$96,0)),"")="","",IFERROR(INDEX(Spots!$K$2:$K$96,MATCH(A751,Spots!$A$2:$A$96,0)),""))</f>
        <v/>
      </c>
      <c r="L751" s="3">
        <f>IF(OR(K751="",F751=""),"",F751/1000*K751*100)</f>
        <v/>
      </c>
      <c r="M751">
        <f>IF(OR(L751="",L751=0),"",ROUND(100/L751,0))</f>
        <v/>
      </c>
      <c r="N751" t="inlineStr">
        <is>
          <t>low sample</t>
        </is>
      </c>
    </row>
    <row r="752">
      <c r="A752" t="n">
        <v>28</v>
      </c>
      <c r="B752" t="inlineStr">
        <is>
          <t>Mirumok Ruins</t>
        </is>
      </c>
      <c r="C752" t="inlineStr">
        <is>
          <t>Imperfect Lightstone of Fire</t>
        </is>
      </c>
      <c r="D752" t="n">
        <v>0.06569846999999999</v>
      </c>
      <c r="E752" t="n">
        <v>5539.7</v>
      </c>
      <c r="F752" s="3" t="n">
        <v>0.01185957181796848</v>
      </c>
      <c r="G752" t="n">
        <v>84320</v>
      </c>
      <c r="H752" s="3" t="n">
        <v>0.005675271779155082</v>
      </c>
      <c r="I752" s="3" t="n">
        <v>0.02181774905996991</v>
      </c>
      <c r="J752" t="n">
        <v>10</v>
      </c>
      <c r="K752">
        <f>IF(IFERROR(INDEX(Spots!$K$2:$K$96,MATCH(A752,Spots!$A$2:$A$96,0)),"")="","",IFERROR(INDEX(Spots!$K$2:$K$96,MATCH(A752,Spots!$A$2:$A$96,0)),""))</f>
        <v/>
      </c>
      <c r="L752" s="3">
        <f>IF(OR(K752="",F752=""),"",F752/1000*K752*100)</f>
        <v/>
      </c>
      <c r="M752">
        <f>IF(OR(L752="",L752=0),"",ROUND(100/L752,0))</f>
        <v/>
      </c>
      <c r="N752" t="inlineStr">
        <is>
          <t>low sample</t>
        </is>
      </c>
    </row>
    <row r="753">
      <c r="A753" t="n">
        <v>28</v>
      </c>
      <c r="B753" t="inlineStr">
        <is>
          <t>Mirumok Ruins</t>
        </is>
      </c>
      <c r="C753" t="inlineStr">
        <is>
          <t>Imperfect Lightstone of Earth</t>
        </is>
      </c>
      <c r="D753" t="n">
        <v>0.04499794</v>
      </c>
      <c r="E753" t="n">
        <v>5539.7</v>
      </c>
      <c r="F753" s="3" t="n">
        <v>0.008122811704604943</v>
      </c>
      <c r="G753" t="n">
        <v>123110</v>
      </c>
      <c r="H753" s="3" t="n">
        <v>0.003212178392412157</v>
      </c>
      <c r="I753" s="3" t="n">
        <v>0.01686903541793983</v>
      </c>
      <c r="J753" t="n">
        <v>6.8</v>
      </c>
      <c r="K753">
        <f>IF(IFERROR(INDEX(Spots!$K$2:$K$96,MATCH(A753,Spots!$A$2:$A$96,0)),"")="","",IFERROR(INDEX(Spots!$K$2:$K$96,MATCH(A753,Spots!$A$2:$A$96,0)),""))</f>
        <v/>
      </c>
      <c r="L753" s="3">
        <f>IF(OR(K753="",F753=""),"",F753/1000*K753*100)</f>
        <v/>
      </c>
      <c r="M753">
        <f>IF(OR(L753="",L753=0),"",ROUND(100/L753,0))</f>
        <v/>
      </c>
      <c r="N753" t="inlineStr">
        <is>
          <t>low sample</t>
        </is>
      </c>
    </row>
    <row r="754">
      <c r="A754" t="n">
        <v>28</v>
      </c>
      <c r="B754" t="inlineStr">
        <is>
          <t>Mirumok Ruins</t>
        </is>
      </c>
      <c r="C754" t="inlineStr">
        <is>
          <t>Lemoria Armor</t>
        </is>
      </c>
      <c r="D754" t="n">
        <v>0.009505069999999999</v>
      </c>
      <c r="E754" t="n">
        <v>5539.7</v>
      </c>
      <c r="F754" s="3" t="n">
        <v>0.001715809520371139</v>
      </c>
      <c r="G754" t="n">
        <v>582815</v>
      </c>
      <c r="H754" s="3" t="n">
        <v>9.392882855360328e-05</v>
      </c>
      <c r="I754" s="3" t="n">
        <v>0.007502905988142215</v>
      </c>
      <c r="J754" t="n">
        <v>1.4</v>
      </c>
      <c r="K754">
        <f>IF(IFERROR(INDEX(Spots!$K$2:$K$96,MATCH(A754,Spots!$A$2:$A$96,0)),"")="","",IFERROR(INDEX(Spots!$K$2:$K$96,MATCH(A754,Spots!$A$2:$A$96,0)),""))</f>
        <v/>
      </c>
      <c r="L754" s="3">
        <f>IF(OR(K754="",F754=""),"",F754/1000*K754*100)</f>
        <v/>
      </c>
      <c r="M754">
        <f>IF(OR(L754="",L754=0),"",ROUND(100/L754,0))</f>
        <v/>
      </c>
      <c r="N754" t="inlineStr">
        <is>
          <t>low sample</t>
        </is>
      </c>
    </row>
    <row r="755">
      <c r="A755" t="n">
        <v>111</v>
      </c>
      <c r="B755" t="inlineStr">
        <is>
          <t>Murrowak's Labyrinth</t>
        </is>
      </c>
      <c r="C755" t="inlineStr">
        <is>
          <t>Black Stone</t>
        </is>
      </c>
      <c r="D755" t="n">
        <v>51.407</v>
      </c>
      <c r="E755" t="n">
        <v>11248</v>
      </c>
      <c r="F755" s="3" t="n">
        <v>4.570323613086771</v>
      </c>
      <c r="G755" t="n">
        <v>219</v>
      </c>
      <c r="H755" s="3" t="n">
        <v>4.483865975826226</v>
      </c>
      <c r="I755" s="3" t="n">
        <v>4.658029246733371</v>
      </c>
      <c r="J755" t="n">
        <v>10634.4</v>
      </c>
      <c r="K755">
        <f>IF(IFERROR(INDEX(Spots!$K$2:$K$96,MATCH(A755,Spots!$A$2:$A$96,0)),"")="","",IFERROR(INDEX(Spots!$K$2:$K$96,MATCH(A755,Spots!$A$2:$A$96,0)),""))</f>
        <v/>
      </c>
      <c r="L755" s="3">
        <f>IF(OR(K755="",F755=""),"",F755/1000*K755*100)</f>
        <v/>
      </c>
      <c r="M755">
        <f>IF(OR(L755="",L755=0),"",ROUND(100/L755,0))</f>
        <v/>
      </c>
      <c r="N755" t="inlineStr"/>
    </row>
    <row r="756">
      <c r="A756" t="n">
        <v>111</v>
      </c>
      <c r="B756" t="inlineStr">
        <is>
          <t>Murrowak's Labyrinth</t>
        </is>
      </c>
      <c r="C756" t="inlineStr">
        <is>
          <t>Ancient Spirit Dust</t>
        </is>
      </c>
      <c r="D756" t="n">
        <v>27.181</v>
      </c>
      <c r="E756" t="n">
        <v>11248</v>
      </c>
      <c r="F756" s="3" t="n">
        <v>2.416518492176387</v>
      </c>
      <c r="G756" t="n">
        <v>414</v>
      </c>
      <c r="H756" s="3" t="n">
        <v>2.353762662682571</v>
      </c>
      <c r="I756" s="3" t="n">
        <v>2.480523842914086</v>
      </c>
      <c r="J756" t="n">
        <v>5622.8</v>
      </c>
      <c r="K756">
        <f>IF(IFERROR(INDEX(Spots!$K$2:$K$96,MATCH(A756,Spots!$A$2:$A$96,0)),"")="","",IFERROR(INDEX(Spots!$K$2:$K$96,MATCH(A756,Spots!$A$2:$A$96,0)),""))</f>
        <v/>
      </c>
      <c r="L756" s="3">
        <f>IF(OR(K756="",F756=""),"",F756/1000*K756*100)</f>
        <v/>
      </c>
      <c r="M756">
        <f>IF(OR(L756="",L756=0),"",ROUND(100/L756,0))</f>
        <v/>
      </c>
      <c r="N756" t="inlineStr"/>
    </row>
    <row r="757">
      <c r="A757" t="n">
        <v>111</v>
      </c>
      <c r="B757" t="inlineStr">
        <is>
          <t>Murrowak's Labyrinth</t>
        </is>
      </c>
      <c r="C757" t="inlineStr">
        <is>
          <t>Caphras Stone</t>
        </is>
      </c>
      <c r="D757" t="n">
        <v>11.391</v>
      </c>
      <c r="E757" t="n">
        <v>11248</v>
      </c>
      <c r="F757" s="3" t="n">
        <v>1.012713371266003</v>
      </c>
      <c r="G757" t="n">
        <v>987</v>
      </c>
      <c r="H757" s="3" t="n">
        <v>0.9722318794514296</v>
      </c>
      <c r="I757" s="3" t="n">
        <v>1.054447421150156</v>
      </c>
      <c r="J757" t="n">
        <v>2356.4</v>
      </c>
      <c r="K757">
        <f>IF(IFERROR(INDEX(Spots!$K$2:$K$96,MATCH(A757,Spots!$A$2:$A$96,0)),"")="","",IFERROR(INDEX(Spots!$K$2:$K$96,MATCH(A757,Spots!$A$2:$A$96,0)),""))</f>
        <v/>
      </c>
      <c r="L757" s="3">
        <f>IF(OR(K757="",F757=""),"",F757/1000*K757*100)</f>
        <v/>
      </c>
      <c r="M757">
        <f>IF(OR(L757="",L757=0),"",ROUND(100/L757,0))</f>
        <v/>
      </c>
      <c r="N757" t="inlineStr"/>
    </row>
    <row r="758">
      <c r="A758" t="n">
        <v>111</v>
      </c>
      <c r="B758" t="inlineStr">
        <is>
          <t>Murrowak's Labyrinth</t>
        </is>
      </c>
      <c r="C758" t="inlineStr">
        <is>
          <t>Murrowak Crystal Carapace</t>
        </is>
      </c>
      <c r="D758" t="n">
        <v>2.32367</v>
      </c>
      <c r="E758" t="n">
        <v>11248</v>
      </c>
      <c r="F758" s="3" t="n">
        <v>0.2065851706970128</v>
      </c>
      <c r="G758" t="n">
        <v>4841</v>
      </c>
      <c r="H758" s="3" t="n">
        <v>0.1885271014481536</v>
      </c>
      <c r="I758" s="3" t="n">
        <v>0.2259061759563026</v>
      </c>
      <c r="J758" t="n">
        <v>480.7</v>
      </c>
      <c r="K758">
        <f>IF(IFERROR(INDEX(Spots!$K$2:$K$96,MATCH(A758,Spots!$A$2:$A$96,0)),"")="","",IFERROR(INDEX(Spots!$K$2:$K$96,MATCH(A758,Spots!$A$2:$A$96,0)),""))</f>
        <v/>
      </c>
      <c r="L758" s="3">
        <f>IF(OR(K758="",F758=""),"",F758/1000*K758*100)</f>
        <v/>
      </c>
      <c r="M758">
        <f>IF(OR(L758="",L758=0),"",ROUND(100/L758,0))</f>
        <v/>
      </c>
      <c r="N758" t="inlineStr"/>
    </row>
    <row r="759">
      <c r="A759" t="n">
        <v>111</v>
      </c>
      <c r="B759" t="inlineStr">
        <is>
          <t>Murrowak's Labyrinth</t>
        </is>
      </c>
      <c r="C759" t="inlineStr">
        <is>
          <t>Dragon Scale Fossil</t>
        </is>
      </c>
      <c r="D759" t="n">
        <v>1.579516</v>
      </c>
      <c r="E759" t="n">
        <v>11248</v>
      </c>
      <c r="F759" s="3" t="n">
        <v>0.140426386913229</v>
      </c>
      <c r="G759" t="n">
        <v>7121</v>
      </c>
      <c r="H759" s="3" t="n">
        <v>0.1256106382649738</v>
      </c>
      <c r="I759" s="3" t="n">
        <v>0.1565090676287445</v>
      </c>
      <c r="J759" t="n">
        <v>326.7</v>
      </c>
      <c r="K759">
        <f>IF(IFERROR(INDEX(Spots!$K$2:$K$96,MATCH(A759,Spots!$A$2:$A$96,0)),"")="","",IFERROR(INDEX(Spots!$K$2:$K$96,MATCH(A759,Spots!$A$2:$A$96,0)),""))</f>
        <v/>
      </c>
      <c r="L759" s="3">
        <f>IF(OR(K759="",F759=""),"",F759/1000*K759*100)</f>
        <v/>
      </c>
      <c r="M759">
        <f>IF(OR(L759="",L759=0),"",ROUND(100/L759,0))</f>
        <v/>
      </c>
      <c r="N759" t="inlineStr"/>
    </row>
    <row r="760">
      <c r="A760" t="n">
        <v>111</v>
      </c>
      <c r="B760" t="inlineStr">
        <is>
          <t>Murrowak's Labyrinth</t>
        </is>
      </c>
      <c r="C760" t="inlineStr">
        <is>
          <t>Embers of Frost</t>
        </is>
      </c>
      <c r="D760" t="n">
        <v>0.68883798</v>
      </c>
      <c r="E760" t="n">
        <v>11248</v>
      </c>
      <c r="F760" s="3" t="n">
        <v>0.06124092994310099</v>
      </c>
      <c r="G760" t="n">
        <v>16329</v>
      </c>
      <c r="H760" s="3" t="n">
        <v>0.05159804650865707</v>
      </c>
      <c r="I760" s="3" t="n">
        <v>0.07216234169815897</v>
      </c>
      <c r="J760" t="n">
        <v>142.5</v>
      </c>
      <c r="K760">
        <f>IF(IFERROR(INDEX(Spots!$K$2:$K$96,MATCH(A760,Spots!$A$2:$A$96,0)),"")="","",IFERROR(INDEX(Spots!$K$2:$K$96,MATCH(A760,Spots!$A$2:$A$96,0)),""))</f>
        <v/>
      </c>
      <c r="L760" s="3">
        <f>IF(OR(K760="",F760=""),"",F760/1000*K760*100)</f>
        <v/>
      </c>
      <c r="M760">
        <f>IF(OR(L760="",L760=0),"",ROUND(100/L760,0))</f>
        <v/>
      </c>
      <c r="N760" t="inlineStr"/>
    </row>
    <row r="761">
      <c r="A761" t="n">
        <v>111</v>
      </c>
      <c r="B761" t="inlineStr">
        <is>
          <t>Murrowak's Labyrinth</t>
        </is>
      </c>
      <c r="C761" t="inlineStr">
        <is>
          <t>Imperfect Lightstone of Earth</t>
        </is>
      </c>
      <c r="D761" t="n">
        <v>0.62811655</v>
      </c>
      <c r="E761" t="n">
        <v>11248</v>
      </c>
      <c r="F761" s="3" t="n">
        <v>0.05584250977951635</v>
      </c>
      <c r="G761" t="n">
        <v>17908</v>
      </c>
      <c r="H761" s="3" t="n">
        <v>0.04665327270106969</v>
      </c>
      <c r="I761" s="3" t="n">
        <v>0.06631187407567568</v>
      </c>
      <c r="J761" t="n">
        <v>129.9</v>
      </c>
      <c r="K761">
        <f>IF(IFERROR(INDEX(Spots!$K$2:$K$96,MATCH(A761,Spots!$A$2:$A$96,0)),"")="","",IFERROR(INDEX(Spots!$K$2:$K$96,MATCH(A761,Spots!$A$2:$A$96,0)),""))</f>
        <v/>
      </c>
      <c r="L761" s="3">
        <f>IF(OR(K761="",F761=""),"",F761/1000*K761*100)</f>
        <v/>
      </c>
      <c r="M761">
        <f>IF(OR(L761="",L761=0),"",ROUND(100/L761,0))</f>
        <v/>
      </c>
      <c r="N761" t="inlineStr"/>
    </row>
    <row r="762">
      <c r="A762" t="n">
        <v>111</v>
      </c>
      <c r="B762" t="inlineStr">
        <is>
          <t>Murrowak's Labyrinth</t>
        </is>
      </c>
      <c r="C762" t="inlineStr">
        <is>
          <t>Ouk Pill of Time and Tide</t>
        </is>
      </c>
      <c r="D762" t="n">
        <v>0.12222008</v>
      </c>
      <c r="E762" t="n">
        <v>11248</v>
      </c>
      <c r="F762" s="3" t="n">
        <v>0.01086593883357041</v>
      </c>
      <c r="G762" t="n">
        <v>92031</v>
      </c>
      <c r="H762" s="3" t="n">
        <v>0.007049014894312796</v>
      </c>
      <c r="I762" s="3" t="n">
        <v>0.01600647365314034</v>
      </c>
      <c r="J762" t="n">
        <v>25.3</v>
      </c>
      <c r="K762">
        <f>IF(IFERROR(INDEX(Spots!$K$2:$K$96,MATCH(A762,Spots!$A$2:$A$96,0)),"")="","",IFERROR(INDEX(Spots!$K$2:$K$96,MATCH(A762,Spots!$A$2:$A$96,0)),""))</f>
        <v/>
      </c>
      <c r="L762" s="3">
        <f>IF(OR(K762="",F762=""),"",F762/1000*K762*100)</f>
        <v/>
      </c>
      <c r="M762">
        <f>IF(OR(L762="",L762=0),"",ROUND(100/L762,0))</f>
        <v/>
      </c>
      <c r="N762" t="inlineStr">
        <is>
          <t>low sample</t>
        </is>
      </c>
    </row>
    <row r="763">
      <c r="A763" t="n">
        <v>111</v>
      </c>
      <c r="B763" t="inlineStr">
        <is>
          <t>Murrowak's Labyrinth</t>
        </is>
      </c>
      <c r="C763" t="inlineStr">
        <is>
          <t>Imperfect Lightstone of Fire</t>
        </is>
      </c>
      <c r="D763" t="n">
        <v>0.10697369</v>
      </c>
      <c r="E763" t="n">
        <v>11248</v>
      </c>
      <c r="F763" s="3" t="n">
        <v>0.009510463193456616</v>
      </c>
      <c r="G763" t="n">
        <v>105147</v>
      </c>
      <c r="H763" s="3" t="n">
        <v>0.00596716590414891</v>
      </c>
      <c r="I763" s="3" t="n">
        <v>0.01438252833006646</v>
      </c>
      <c r="J763" t="n">
        <v>22.1</v>
      </c>
      <c r="K763">
        <f>IF(IFERROR(INDEX(Spots!$K$2:$K$96,MATCH(A763,Spots!$A$2:$A$96,0)),"")="","",IFERROR(INDEX(Spots!$K$2:$K$96,MATCH(A763,Spots!$A$2:$A$96,0)),""))</f>
        <v/>
      </c>
      <c r="L763" s="3">
        <f>IF(OR(K763="",F763=""),"",F763/1000*K763*100)</f>
        <v/>
      </c>
      <c r="M763">
        <f>IF(OR(L763="",L763=0),"",ROUND(100/L763,0))</f>
        <v/>
      </c>
      <c r="N763" t="inlineStr">
        <is>
          <t>low sample</t>
        </is>
      </c>
    </row>
    <row r="764">
      <c r="A764" t="n">
        <v>111</v>
      </c>
      <c r="B764" t="inlineStr">
        <is>
          <t>Murrowak's Labyrinth</t>
        </is>
      </c>
      <c r="C764" t="inlineStr">
        <is>
          <t>Any Artifact</t>
        </is>
      </c>
      <c r="D764" t="n">
        <v>0.10151129</v>
      </c>
      <c r="E764" t="n">
        <v>11248</v>
      </c>
      <c r="F764" s="3" t="n">
        <v>0.00902483019203414</v>
      </c>
      <c r="G764" t="n">
        <v>110805</v>
      </c>
      <c r="H764" s="3" t="n">
        <v>0.005584289990070239</v>
      </c>
      <c r="I764" s="3" t="n">
        <v>0.01379624934755777</v>
      </c>
      <c r="J764" t="n">
        <v>21</v>
      </c>
      <c r="K764">
        <f>IF(IFERROR(INDEX(Spots!$K$2:$K$96,MATCH(A764,Spots!$A$2:$A$96,0)),"")="","",IFERROR(INDEX(Spots!$K$2:$K$96,MATCH(A764,Spots!$A$2:$A$96,0)),""))</f>
        <v/>
      </c>
      <c r="L764" s="3">
        <f>IF(OR(K764="",F764=""),"",F764/1000*K764*100)</f>
        <v/>
      </c>
      <c r="M764">
        <f>IF(OR(L764="",L764=0),"",ROUND(100/L764,0))</f>
        <v/>
      </c>
      <c r="N764" t="inlineStr">
        <is>
          <t>low sample</t>
        </is>
      </c>
    </row>
    <row r="765">
      <c r="A765" t="n">
        <v>111</v>
      </c>
      <c r="B765" t="inlineStr">
        <is>
          <t>Murrowak's Labyrinth</t>
        </is>
      </c>
      <c r="C765" t="inlineStr">
        <is>
          <t>Imperfect Lightstone of Wind</t>
        </is>
      </c>
      <c r="D765" t="n">
        <v>0.06672204</v>
      </c>
      <c r="E765" t="n">
        <v>11248</v>
      </c>
      <c r="F765" s="3" t="n">
        <v>0.005931902560455192</v>
      </c>
      <c r="G765" t="n">
        <v>168580</v>
      </c>
      <c r="H765" s="3" t="n">
        <v>0.003224155586425721</v>
      </c>
      <c r="I765" s="3" t="n">
        <v>0.009989217879064432</v>
      </c>
      <c r="J765" t="n">
        <v>13.8</v>
      </c>
      <c r="K765">
        <f>IF(IFERROR(INDEX(Spots!$K$2:$K$96,MATCH(A765,Spots!$A$2:$A$96,0)),"")="","",IFERROR(INDEX(Spots!$K$2:$K$96,MATCH(A765,Spots!$A$2:$A$96,0)),""))</f>
        <v/>
      </c>
      <c r="L765" s="3">
        <f>IF(OR(K765="",F765=""),"",F765/1000*K765*100)</f>
        <v/>
      </c>
      <c r="M765">
        <f>IF(OR(L765="",L765=0),"",ROUND(100/L765,0))</f>
        <v/>
      </c>
      <c r="N765" t="inlineStr">
        <is>
          <t>low sample</t>
        </is>
      </c>
    </row>
    <row r="766">
      <c r="A766" t="n">
        <v>111</v>
      </c>
      <c r="B766" t="inlineStr">
        <is>
          <t>Murrowak's Labyrinth</t>
        </is>
      </c>
      <c r="C766" t="inlineStr">
        <is>
          <t>Ancient Magic Crystal of Nature - Fighting Spirit</t>
        </is>
      </c>
      <c r="D766" t="n">
        <v>0.04763444</v>
      </c>
      <c r="E766" t="n">
        <v>11248</v>
      </c>
      <c r="F766" s="3" t="n">
        <v>0.004234925320056899</v>
      </c>
      <c r="G766" t="n">
        <v>236132</v>
      </c>
      <c r="H766" s="3" t="n">
        <v>0.002014309982468139</v>
      </c>
      <c r="I766" s="3" t="n">
        <v>0.007822587990626899</v>
      </c>
      <c r="J766" t="n">
        <v>9.9</v>
      </c>
      <c r="K766">
        <f>IF(IFERROR(INDEX(Spots!$K$2:$K$96,MATCH(A766,Spots!$A$2:$A$96,0)),"")="","",IFERROR(INDEX(Spots!$K$2:$K$96,MATCH(A766,Spots!$A$2:$A$96,0)),""))</f>
        <v/>
      </c>
      <c r="L766" s="3">
        <f>IF(OR(K766="",F766=""),"",F766/1000*K766*100)</f>
        <v/>
      </c>
      <c r="M766">
        <f>IF(OR(L766="",L766=0),"",ROUND(100/L766,0))</f>
        <v/>
      </c>
      <c r="N766" t="inlineStr">
        <is>
          <t>low sample</t>
        </is>
      </c>
    </row>
    <row r="767">
      <c r="A767" t="n">
        <v>111</v>
      </c>
      <c r="B767" t="inlineStr">
        <is>
          <t>Murrowak's Labyrinth</t>
        </is>
      </c>
      <c r="C767" t="inlineStr">
        <is>
          <t>Forgotten Witch's Token</t>
        </is>
      </c>
      <c r="D767" t="n">
        <v>0.04082716</v>
      </c>
      <c r="E767" t="n">
        <v>11248</v>
      </c>
      <c r="F767" s="3" t="n">
        <v>0.003629726173541963</v>
      </c>
      <c r="G767" t="n">
        <v>275503</v>
      </c>
      <c r="H767" s="3" t="n">
        <v>0.001606193267852673</v>
      </c>
      <c r="I767" s="3" t="n">
        <v>0.007029087255292868</v>
      </c>
      <c r="J767" t="n">
        <v>8.4</v>
      </c>
      <c r="K767">
        <f>IF(IFERROR(INDEX(Spots!$K$2:$K$96,MATCH(A767,Spots!$A$2:$A$96,0)),"")="","",IFERROR(INDEX(Spots!$K$2:$K$96,MATCH(A767,Spots!$A$2:$A$96,0)),""))</f>
        <v/>
      </c>
      <c r="L767" s="3">
        <f>IF(OR(K767="",F767=""),"",F767/1000*K767*100)</f>
        <v/>
      </c>
      <c r="M767">
        <f>IF(OR(L767="",L767=0),"",ROUND(100/L767,0))</f>
        <v/>
      </c>
      <c r="N767" t="inlineStr">
        <is>
          <t>low sample</t>
        </is>
      </c>
    </row>
    <row r="768">
      <c r="A768" t="n">
        <v>111</v>
      </c>
      <c r="B768" t="inlineStr">
        <is>
          <t>Murrowak's Labyrinth</t>
        </is>
      </c>
      <c r="C768" t="inlineStr">
        <is>
          <t>Iridescent Lightstone</t>
        </is>
      </c>
      <c r="D768" t="n">
        <v>0.03669913</v>
      </c>
      <c r="E768" t="n">
        <v>11248</v>
      </c>
      <c r="F768" s="3" t="n">
        <v>0.003262724928876245</v>
      </c>
      <c r="G768" t="n">
        <v>306492</v>
      </c>
      <c r="H768" s="3" t="n">
        <v>0.001366837981733284</v>
      </c>
      <c r="I768" s="3" t="n">
        <v>0.006540804755291803</v>
      </c>
      <c r="J768" t="n">
        <v>7.6</v>
      </c>
      <c r="K768">
        <f>IF(IFERROR(INDEX(Spots!$K$2:$K$96,MATCH(A768,Spots!$A$2:$A$96,0)),"")="","",IFERROR(INDEX(Spots!$K$2:$K$96,MATCH(A768,Spots!$A$2:$A$96,0)),""))</f>
        <v/>
      </c>
      <c r="L768" s="3">
        <f>IF(OR(K768="",F768=""),"",F768/1000*K768*100)</f>
        <v/>
      </c>
      <c r="M768">
        <f>IF(OR(L768="",L768=0),"",ROUND(100/L768,0))</f>
        <v/>
      </c>
      <c r="N768" t="inlineStr">
        <is>
          <t>low sample</t>
        </is>
      </c>
    </row>
    <row r="769">
      <c r="A769" t="n">
        <v>111</v>
      </c>
      <c r="B769" t="inlineStr">
        <is>
          <t>Murrowak's Labyrinth</t>
        </is>
      </c>
      <c r="C769" t="inlineStr">
        <is>
          <t>Ancient Magic Crystal of Nature - Adamantine</t>
        </is>
      </c>
      <c r="D769" t="n">
        <v>0.03223137</v>
      </c>
      <c r="E769" t="n">
        <v>11248</v>
      </c>
      <c r="F769" s="3" t="n">
        <v>0.002865520092460882</v>
      </c>
      <c r="G769" t="n">
        <v>348977</v>
      </c>
      <c r="H769" s="3" t="n">
        <v>0.001116195201927935</v>
      </c>
      <c r="I769" s="3" t="n">
        <v>0.006005117685512811</v>
      </c>
      <c r="J769" t="n">
        <v>6.7</v>
      </c>
      <c r="K769">
        <f>IF(IFERROR(INDEX(Spots!$K$2:$K$96,MATCH(A769,Spots!$A$2:$A$96,0)),"")="","",IFERROR(INDEX(Spots!$K$2:$K$96,MATCH(A769,Spots!$A$2:$A$96,0)),""))</f>
        <v/>
      </c>
      <c r="L769" s="3">
        <f>IF(OR(K769="",F769=""),"",F769/1000*K769*100)</f>
        <v/>
      </c>
      <c r="M769">
        <f>IF(OR(L769="",L769=0),"",ROUND(100/L769,0))</f>
        <v/>
      </c>
      <c r="N769" t="inlineStr">
        <is>
          <t>low sample</t>
        </is>
      </c>
    </row>
    <row r="770">
      <c r="A770" t="n">
        <v>111</v>
      </c>
      <c r="B770" t="inlineStr">
        <is>
          <t>Murrowak's Labyrinth</t>
        </is>
      </c>
      <c r="C770" t="inlineStr">
        <is>
          <t>Ancient Magic Crystal of Nature - Giant</t>
        </is>
      </c>
      <c r="D770" t="n">
        <v>0.03022376</v>
      </c>
      <c r="E770" t="n">
        <v>11248</v>
      </c>
      <c r="F770" s="3" t="n">
        <v>0.00268703413940256</v>
      </c>
      <c r="G770" t="n">
        <v>372158</v>
      </c>
      <c r="H770" s="3" t="n">
        <v>0.001006876914441028</v>
      </c>
      <c r="I770" s="3" t="n">
        <v>0.005761600974926505</v>
      </c>
      <c r="J770" t="n">
        <v>6.3</v>
      </c>
      <c r="K770">
        <f>IF(IFERROR(INDEX(Spots!$K$2:$K$96,MATCH(A770,Spots!$A$2:$A$96,0)),"")="","",IFERROR(INDEX(Spots!$K$2:$K$96,MATCH(A770,Spots!$A$2:$A$96,0)),""))</f>
        <v/>
      </c>
      <c r="L770" s="3">
        <f>IF(OR(K770="",F770=""),"",F770/1000*K770*100)</f>
        <v/>
      </c>
      <c r="M770">
        <f>IF(OR(L770="",L770=0),"",ROUND(100/L770,0))</f>
        <v/>
      </c>
      <c r="N770" t="inlineStr">
        <is>
          <t>low sample</t>
        </is>
      </c>
    </row>
    <row r="771">
      <c r="A771" t="n">
        <v>111</v>
      </c>
      <c r="B771" t="inlineStr">
        <is>
          <t>Murrowak's Labyrinth</t>
        </is>
      </c>
      <c r="C771" t="inlineStr">
        <is>
          <t>Magic Crystal of Infinity - Max HP</t>
        </is>
      </c>
      <c r="D771" t="n">
        <v>0.02487618</v>
      </c>
      <c r="E771" t="n">
        <v>11248</v>
      </c>
      <c r="F771" s="3" t="n">
        <v>0.002211609174964438</v>
      </c>
      <c r="G771" t="n">
        <v>452159</v>
      </c>
      <c r="H771" s="3" t="n">
        <v>0.0007278136367943923</v>
      </c>
      <c r="I771" s="3" t="n">
        <v>0.005102877615878563</v>
      </c>
      <c r="J771" t="n">
        <v>5.1</v>
      </c>
      <c r="K771">
        <f>IF(IFERROR(INDEX(Spots!$K$2:$K$96,MATCH(A771,Spots!$A$2:$A$96,0)),"")="","",IFERROR(INDEX(Spots!$K$2:$K$96,MATCH(A771,Spots!$A$2:$A$96,0)),""))</f>
        <v/>
      </c>
      <c r="L771" s="3">
        <f>IF(OR(K771="",F771=""),"",F771/1000*K771*100)</f>
        <v/>
      </c>
      <c r="M771">
        <f>IF(OR(L771="",L771=0),"",ROUND(100/L771,0))</f>
        <v/>
      </c>
      <c r="N771" t="inlineStr">
        <is>
          <t>low sample</t>
        </is>
      </c>
    </row>
    <row r="772">
      <c r="A772" t="n">
        <v>111</v>
      </c>
      <c r="B772" t="inlineStr">
        <is>
          <t>Murrowak's Labyrinth</t>
        </is>
      </c>
      <c r="C772" t="inlineStr">
        <is>
          <t>Flame of Frost</t>
        </is>
      </c>
      <c r="D772" t="n">
        <v>0.0010863</v>
      </c>
      <c r="E772" t="n">
        <v>11248</v>
      </c>
      <c r="F772" s="3" t="n">
        <v>9.657716927453769e-05</v>
      </c>
      <c r="G772" t="n">
        <v>10354414</v>
      </c>
      <c r="H772" s="3" t="n">
        <v>0</v>
      </c>
      <c r="I772" s="3" t="n">
        <v>0.001775121449992657</v>
      </c>
      <c r="J772" t="n">
        <v>0.2</v>
      </c>
      <c r="K772">
        <f>IF(IFERROR(INDEX(Spots!$K$2:$K$96,MATCH(A772,Spots!$A$2:$A$96,0)),"")="","",IFERROR(INDEX(Spots!$K$2:$K$96,MATCH(A772,Spots!$A$2:$A$96,0)),""))</f>
        <v/>
      </c>
      <c r="L772" s="3">
        <f>IF(OR(K772="",F772=""),"",F772/1000*K772*100)</f>
        <v/>
      </c>
      <c r="M772">
        <f>IF(OR(L772="",L772=0),"",ROUND(100/L772,0))</f>
        <v/>
      </c>
      <c r="N772" t="inlineStr">
        <is>
          <t>low sample</t>
        </is>
      </c>
    </row>
    <row r="773">
      <c r="A773" t="n">
        <v>111</v>
      </c>
      <c r="B773" t="inlineStr">
        <is>
          <t>Murrowak's Labyrinth</t>
        </is>
      </c>
      <c r="C773" t="inlineStr">
        <is>
          <t>Ancient Magic Crystal of Nature - Sturdiness</t>
        </is>
      </c>
      <c r="D773" t="n">
        <v>0</v>
      </c>
      <c r="E773" t="n">
        <v>11248</v>
      </c>
      <c r="F773" s="3" t="n">
        <v>0</v>
      </c>
      <c r="H773" s="3" t="n">
        <v>0</v>
      </c>
      <c r="I773" s="3" t="n">
        <v>0.00158541451878121</v>
      </c>
      <c r="J773" t="n">
        <v>0</v>
      </c>
      <c r="K773">
        <f>IF(IFERROR(INDEX(Spots!$K$2:$K$96,MATCH(A773,Spots!$A$2:$A$96,0)),"")="","",IFERROR(INDEX(Spots!$K$2:$K$96,MATCH(A773,Spots!$A$2:$A$96,0)),""))</f>
        <v/>
      </c>
      <c r="L773" s="3">
        <f>IF(OR(K773="",F773=""),"",F773/1000*K773*100)</f>
        <v/>
      </c>
      <c r="M773">
        <f>IF(OR(L773="",L773=0),"",ROUND(100/L773,0))</f>
        <v/>
      </c>
      <c r="N773" t="inlineStr">
        <is>
          <t>no drops recorded</t>
        </is>
      </c>
    </row>
    <row r="774">
      <c r="A774" t="n">
        <v>111</v>
      </c>
      <c r="B774" t="inlineStr">
        <is>
          <t>Murrowak's Labyrinth</t>
        </is>
      </c>
      <c r="C774" t="inlineStr">
        <is>
          <t>Heavenly Essence - Ignore Knockback Resistance</t>
        </is>
      </c>
      <c r="D774" t="n">
        <v>0</v>
      </c>
      <c r="E774" t="n">
        <v>11248</v>
      </c>
      <c r="F774" s="3" t="n">
        <v>0</v>
      </c>
      <c r="H774" s="3" t="n">
        <v>0</v>
      </c>
      <c r="I774" s="3" t="n">
        <v>0.00158541451878121</v>
      </c>
      <c r="J774" t="n">
        <v>0</v>
      </c>
      <c r="K774">
        <f>IF(IFERROR(INDEX(Spots!$K$2:$K$96,MATCH(A774,Spots!$A$2:$A$96,0)),"")="","",IFERROR(INDEX(Spots!$K$2:$K$96,MATCH(A774,Spots!$A$2:$A$96,0)),""))</f>
        <v/>
      </c>
      <c r="L774" s="3">
        <f>IF(OR(K774="",F774=""),"",F774/1000*K774*100)</f>
        <v/>
      </c>
      <c r="M774">
        <f>IF(OR(L774="",L774=0),"",ROUND(100/L774,0))</f>
        <v/>
      </c>
      <c r="N774" t="inlineStr">
        <is>
          <t>no drops recorded</t>
        </is>
      </c>
    </row>
    <row r="775">
      <c r="A775" t="n">
        <v>111</v>
      </c>
      <c r="B775" t="inlineStr">
        <is>
          <t>Murrowak's Labyrinth</t>
        </is>
      </c>
      <c r="C775" t="inlineStr">
        <is>
          <t>Heavenly Essence - Ignore Knockdown Resistance</t>
        </is>
      </c>
      <c r="D775" t="n">
        <v>0</v>
      </c>
      <c r="E775" t="n">
        <v>11248</v>
      </c>
      <c r="F775" s="3" t="n">
        <v>0</v>
      </c>
      <c r="H775" s="3" t="n">
        <v>0</v>
      </c>
      <c r="I775" s="3" t="n">
        <v>0.00158541451878121</v>
      </c>
      <c r="J775" t="n">
        <v>0</v>
      </c>
      <c r="K775">
        <f>IF(IFERROR(INDEX(Spots!$K$2:$K$96,MATCH(A775,Spots!$A$2:$A$96,0)),"")="","",IFERROR(INDEX(Spots!$K$2:$K$96,MATCH(A775,Spots!$A$2:$A$96,0)),""))</f>
        <v/>
      </c>
      <c r="L775" s="3">
        <f>IF(OR(K775="",F775=""),"",F775/1000*K775*100)</f>
        <v/>
      </c>
      <c r="M775">
        <f>IF(OR(L775="",L775=0),"",ROUND(100/L775,0))</f>
        <v/>
      </c>
      <c r="N775" t="inlineStr">
        <is>
          <t>no drops recorded</t>
        </is>
      </c>
    </row>
    <row r="776">
      <c r="A776" t="n">
        <v>111</v>
      </c>
      <c r="B776" t="inlineStr">
        <is>
          <t>Murrowak's Labyrinth</t>
        </is>
      </c>
      <c r="C776" t="inlineStr">
        <is>
          <t>Heavenly Essence - Ignore Grapple Resistance</t>
        </is>
      </c>
      <c r="D776" t="n">
        <v>0</v>
      </c>
      <c r="E776" t="n">
        <v>11248</v>
      </c>
      <c r="F776" s="3" t="n">
        <v>0</v>
      </c>
      <c r="H776" s="3" t="n">
        <v>0</v>
      </c>
      <c r="I776" s="3" t="n">
        <v>0.00158541451878121</v>
      </c>
      <c r="J776" t="n">
        <v>0</v>
      </c>
      <c r="K776">
        <f>IF(IFERROR(INDEX(Spots!$K$2:$K$96,MATCH(A776,Spots!$A$2:$A$96,0)),"")="","",IFERROR(INDEX(Spots!$K$2:$K$96,MATCH(A776,Spots!$A$2:$A$96,0)),""))</f>
        <v/>
      </c>
      <c r="L776" s="3">
        <f>IF(OR(K776="",F776=""),"",F776/1000*K776*100)</f>
        <v/>
      </c>
      <c r="M776">
        <f>IF(OR(L776="",L776=0),"",ROUND(100/L776,0))</f>
        <v/>
      </c>
      <c r="N776" t="inlineStr">
        <is>
          <t>no drops recorded</t>
        </is>
      </c>
    </row>
    <row r="777">
      <c r="A777" t="n">
        <v>111</v>
      </c>
      <c r="B777" t="inlineStr">
        <is>
          <t>Murrowak's Labyrinth</t>
        </is>
      </c>
      <c r="C777" t="inlineStr">
        <is>
          <t>Heavenly Essence - Ignore Stun Resistance</t>
        </is>
      </c>
      <c r="D777" t="n">
        <v>0</v>
      </c>
      <c r="E777" t="n">
        <v>11248</v>
      </c>
      <c r="F777" s="3" t="n">
        <v>0</v>
      </c>
      <c r="H777" s="3" t="n">
        <v>0</v>
      </c>
      <c r="I777" s="3" t="n">
        <v>0.00158541451878121</v>
      </c>
      <c r="J777" t="n">
        <v>0</v>
      </c>
      <c r="K777">
        <f>IF(IFERROR(INDEX(Spots!$K$2:$K$96,MATCH(A777,Spots!$A$2:$A$96,0)),"")="","",IFERROR(INDEX(Spots!$K$2:$K$96,MATCH(A777,Spots!$A$2:$A$96,0)),""))</f>
        <v/>
      </c>
      <c r="L777" s="3">
        <f>IF(OR(K777="",F777=""),"",F777/1000*K777*100)</f>
        <v/>
      </c>
      <c r="M777">
        <f>IF(OR(L777="",L777=0),"",ROUND(100/L777,0))</f>
        <v/>
      </c>
      <c r="N777" t="inlineStr">
        <is>
          <t>no drops recorded</t>
        </is>
      </c>
    </row>
    <row r="778">
      <c r="A778" t="n">
        <v>184</v>
      </c>
      <c r="B778" t="inlineStr">
        <is>
          <t>Nymphamare Castle</t>
        </is>
      </c>
      <c r="C778" t="inlineStr">
        <is>
          <t>Black Stone</t>
        </is>
      </c>
      <c r="D778" t="n">
        <v>22.069</v>
      </c>
      <c r="E778" t="n">
        <v>5774.9</v>
      </c>
      <c r="F778" s="3" t="n">
        <v>3.821538035290654</v>
      </c>
      <c r="G778" t="n">
        <v>262</v>
      </c>
      <c r="H778" s="3" t="n">
        <v>3.812481587586449</v>
      </c>
      <c r="I778" s="3" t="n">
        <v>3.83061067907368</v>
      </c>
      <c r="J778" t="n">
        <v>683226.4</v>
      </c>
      <c r="K778">
        <f>IF(IFERROR(INDEX(Spots!$K$2:$K$96,MATCH(A778,Spots!$A$2:$A$96,0)),"")="","",IFERROR(INDEX(Spots!$K$2:$K$96,MATCH(A778,Spots!$A$2:$A$96,0)),""))</f>
        <v/>
      </c>
      <c r="L778" s="3">
        <f>IF(OR(K778="",F778=""),"",F778/1000*K778*100)</f>
        <v/>
      </c>
      <c r="M778">
        <f>IF(OR(L778="",L778=0),"",ROUND(100/L778,0))</f>
        <v/>
      </c>
      <c r="N778" t="inlineStr"/>
    </row>
    <row r="779">
      <c r="A779" t="n">
        <v>184</v>
      </c>
      <c r="B779" t="inlineStr">
        <is>
          <t>Nymphamare Castle</t>
        </is>
      </c>
      <c r="C779" t="inlineStr">
        <is>
          <t>Ancient Spirit Dust</t>
        </is>
      </c>
      <c r="D779" t="n">
        <v>20.507</v>
      </c>
      <c r="E779" t="n">
        <v>5774.9</v>
      </c>
      <c r="F779" s="3" t="n">
        <v>3.551057161162964</v>
      </c>
      <c r="G779" t="n">
        <v>282</v>
      </c>
      <c r="H779" s="3" t="n">
        <v>3.542327284263537</v>
      </c>
      <c r="I779" s="3" t="n">
        <v>3.559803234389005</v>
      </c>
      <c r="J779" t="n">
        <v>634869</v>
      </c>
      <c r="K779">
        <f>IF(IFERROR(INDEX(Spots!$K$2:$K$96,MATCH(A779,Spots!$A$2:$A$96,0)),"")="","",IFERROR(INDEX(Spots!$K$2:$K$96,MATCH(A779,Spots!$A$2:$A$96,0)),""))</f>
        <v/>
      </c>
      <c r="L779" s="3">
        <f>IF(OR(K779="",F779=""),"",F779/1000*K779*100)</f>
        <v/>
      </c>
      <c r="M779">
        <f>IF(OR(L779="",L779=0),"",ROUND(100/L779,0))</f>
        <v/>
      </c>
      <c r="N779" t="inlineStr"/>
    </row>
    <row r="780">
      <c r="A780" t="n">
        <v>184</v>
      </c>
      <c r="B780" t="inlineStr">
        <is>
          <t>Nymphamare Castle</t>
        </is>
      </c>
      <c r="C780" t="inlineStr">
        <is>
          <t>Caphras Stone</t>
        </is>
      </c>
      <c r="D780" t="n">
        <v>10.808</v>
      </c>
      <c r="E780" t="n">
        <v>5774.9</v>
      </c>
      <c r="F780" s="3" t="n">
        <v>1.871547559265095</v>
      </c>
      <c r="G780" t="n">
        <v>534</v>
      </c>
      <c r="H780" s="3" t="n">
        <v>1.865211340315238</v>
      </c>
      <c r="I780" s="3" t="n">
        <v>1.877899977136626</v>
      </c>
      <c r="J780" t="n">
        <v>334601.1</v>
      </c>
      <c r="K780">
        <f>IF(IFERROR(INDEX(Spots!$K$2:$K$96,MATCH(A780,Spots!$A$2:$A$96,0)),"")="","",IFERROR(INDEX(Spots!$K$2:$K$96,MATCH(A780,Spots!$A$2:$A$96,0)),""))</f>
        <v/>
      </c>
      <c r="L780" s="3">
        <f>IF(OR(K780="",F780=""),"",F780/1000*K780*100)</f>
        <v/>
      </c>
      <c r="M780">
        <f>IF(OR(L780="",L780=0),"",ROUND(100/L780,0))</f>
        <v/>
      </c>
      <c r="N780" t="inlineStr"/>
    </row>
    <row r="781">
      <c r="A781" t="n">
        <v>184</v>
      </c>
      <c r="B781" t="inlineStr">
        <is>
          <t>Nymphamare Castle</t>
        </is>
      </c>
      <c r="C781" t="inlineStr">
        <is>
          <t>BON Crystal of Ruin</t>
        </is>
      </c>
      <c r="D781" t="n">
        <v>2.026118</v>
      </c>
      <c r="E781" t="n">
        <v>5774.9</v>
      </c>
      <c r="F781" s="3" t="n">
        <v>0.3508490190306326</v>
      </c>
      <c r="G781" t="n">
        <v>2850</v>
      </c>
      <c r="H781" s="3" t="n">
        <v>0.3481086213211089</v>
      </c>
      <c r="I781" s="3" t="n">
        <v>0.3536056280567823</v>
      </c>
      <c r="J781" t="n">
        <v>62725.9</v>
      </c>
      <c r="K781">
        <f>IF(IFERROR(INDEX(Spots!$K$2:$K$96,MATCH(A781,Spots!$A$2:$A$96,0)),"")="","",IFERROR(INDEX(Spots!$K$2:$K$96,MATCH(A781,Spots!$A$2:$A$96,0)),""))</f>
        <v/>
      </c>
      <c r="L781" s="3">
        <f>IF(OR(K781="",F781=""),"",F781/1000*K781*100)</f>
        <v/>
      </c>
      <c r="M781">
        <f>IF(OR(L781="",L781=0),"",ROUND(100/L781,0))</f>
        <v/>
      </c>
      <c r="N781" t="inlineStr"/>
    </row>
    <row r="782">
      <c r="A782" t="n">
        <v>184</v>
      </c>
      <c r="B782" t="inlineStr">
        <is>
          <t>Nymphamare Castle</t>
        </is>
      </c>
      <c r="C782" t="inlineStr">
        <is>
          <t>Crystallized Energy of Endtimes</t>
        </is>
      </c>
      <c r="D782" t="n">
        <v>1.635476</v>
      </c>
      <c r="E782" t="n">
        <v>5774.9</v>
      </c>
      <c r="F782" s="3" t="n">
        <v>0.2832042113283347</v>
      </c>
      <c r="G782" t="n">
        <v>3531</v>
      </c>
      <c r="H782" s="3" t="n">
        <v>0.280742663585266</v>
      </c>
      <c r="I782" s="3" t="n">
        <v>0.2856819728575458</v>
      </c>
      <c r="J782" t="n">
        <v>50632.1</v>
      </c>
      <c r="K782">
        <f>IF(IFERROR(INDEX(Spots!$K$2:$K$96,MATCH(A782,Spots!$A$2:$A$96,0)),"")="","",IFERROR(INDEX(Spots!$K$2:$K$96,MATCH(A782,Spots!$A$2:$A$96,0)),""))</f>
        <v/>
      </c>
      <c r="L782" s="3">
        <f>IF(OR(K782="",F782=""),"",F782/1000*K782*100)</f>
        <v/>
      </c>
      <c r="M782">
        <f>IF(OR(L782="",L782=0),"",ROUND(100/L782,0))</f>
        <v/>
      </c>
      <c r="N782" t="inlineStr"/>
    </row>
    <row r="783">
      <c r="A783" t="n">
        <v>184</v>
      </c>
      <c r="B783" t="inlineStr">
        <is>
          <t>Nymphamare Castle</t>
        </is>
      </c>
      <c r="C783" t="inlineStr">
        <is>
          <t>Distorted Fragment of Origin</t>
        </is>
      </c>
      <c r="D783" t="n">
        <v>0.71432306</v>
      </c>
      <c r="E783" t="n">
        <v>5774.9</v>
      </c>
      <c r="F783" s="3" t="n">
        <v>0.123694446657085</v>
      </c>
      <c r="G783" t="n">
        <v>8084</v>
      </c>
      <c r="H783" s="3" t="n">
        <v>0.122069449052169</v>
      </c>
      <c r="I783" s="3" t="n">
        <v>0.1253356705179425</v>
      </c>
      <c r="J783" t="n">
        <v>22114.5</v>
      </c>
      <c r="K783">
        <f>IF(IFERROR(INDEX(Spots!$K$2:$K$96,MATCH(A783,Spots!$A$2:$A$96,0)),"")="","",IFERROR(INDEX(Spots!$K$2:$K$96,MATCH(A783,Spots!$A$2:$A$96,0)),""))</f>
        <v/>
      </c>
      <c r="L783" s="3">
        <f>IF(OR(K783="",F783=""),"",F783/1000*K783*100)</f>
        <v/>
      </c>
      <c r="M783">
        <f>IF(OR(L783="",L783=0),"",ROUND(100/L783,0))</f>
        <v/>
      </c>
      <c r="N783" t="inlineStr"/>
    </row>
    <row r="784">
      <c r="A784" t="n">
        <v>184</v>
      </c>
      <c r="B784" t="inlineStr">
        <is>
          <t>Nymphamare Castle</t>
        </is>
      </c>
      <c r="C784" t="inlineStr">
        <is>
          <t>Deboreka Earring</t>
        </is>
      </c>
      <c r="D784" t="n">
        <v>0.08327869</v>
      </c>
      <c r="E784" t="n">
        <v>5774.9</v>
      </c>
      <c r="F784" s="3" t="n">
        <v>0.01442080209181112</v>
      </c>
      <c r="G784" t="n">
        <v>69344</v>
      </c>
      <c r="H784" s="3" t="n">
        <v>0.01386946033679342</v>
      </c>
      <c r="I784" s="3" t="n">
        <v>0.01498844078682316</v>
      </c>
      <c r="J784" t="n">
        <v>2578.2</v>
      </c>
      <c r="K784">
        <f>IF(IFERROR(INDEX(Spots!$K$2:$K$96,MATCH(A784,Spots!$A$2:$A$96,0)),"")="","",IFERROR(INDEX(Spots!$K$2:$K$96,MATCH(A784,Spots!$A$2:$A$96,0)),""))</f>
        <v/>
      </c>
      <c r="L784" s="3">
        <f>IF(OR(K784="",F784=""),"",F784/1000*K784*100)</f>
        <v/>
      </c>
      <c r="M784">
        <f>IF(OR(L784="",L784=0),"",ROUND(100/L784,0))</f>
        <v/>
      </c>
      <c r="N784" t="inlineStr"/>
    </row>
    <row r="785">
      <c r="A785" t="n">
        <v>184</v>
      </c>
      <c r="B785" t="inlineStr">
        <is>
          <t>Nymphamare Castle</t>
        </is>
      </c>
      <c r="C785" t="inlineStr">
        <is>
          <t>Silent Fragment of Origin</t>
        </is>
      </c>
      <c r="D785" t="n">
        <v>0.08092749</v>
      </c>
      <c r="E785" t="n">
        <v>5774.9</v>
      </c>
      <c r="F785" s="3" t="n">
        <v>0.01401366084261199</v>
      </c>
      <c r="G785" t="n">
        <v>71359</v>
      </c>
      <c r="H785" s="3" t="n">
        <v>0.01347023361243337</v>
      </c>
      <c r="I785" s="3" t="n">
        <v>0.01457338655619578</v>
      </c>
      <c r="J785" t="n">
        <v>2505.4</v>
      </c>
      <c r="K785">
        <f>IF(IFERROR(INDEX(Spots!$K$2:$K$96,MATCH(A785,Spots!$A$2:$A$96,0)),"")="","",IFERROR(INDEX(Spots!$K$2:$K$96,MATCH(A785,Spots!$A$2:$A$96,0)),""))</f>
        <v/>
      </c>
      <c r="L785" s="3">
        <f>IF(OR(K785="",F785=""),"",F785/1000*K785*100)</f>
        <v/>
      </c>
      <c r="M785">
        <f>IF(OR(L785="",L785=0),"",ROUND(100/L785,0))</f>
        <v/>
      </c>
      <c r="N785" t="inlineStr"/>
    </row>
    <row r="786">
      <c r="A786" t="n">
        <v>184</v>
      </c>
      <c r="B786" t="inlineStr">
        <is>
          <t>Nymphamare Castle</t>
        </is>
      </c>
      <c r="C786" t="inlineStr">
        <is>
          <t>Deboreka Belt</t>
        </is>
      </c>
      <c r="D786" t="n">
        <v>0.04273119</v>
      </c>
      <c r="E786" t="n">
        <v>5774.9</v>
      </c>
      <c r="F786" s="3" t="n">
        <v>0.007399468389063015</v>
      </c>
      <c r="G786" t="n">
        <v>135145</v>
      </c>
      <c r="H786" s="3" t="n">
        <v>0.007006047060153509</v>
      </c>
      <c r="I786" s="3" t="n">
        <v>0.007809228965843631</v>
      </c>
      <c r="J786" t="n">
        <v>1322.9</v>
      </c>
      <c r="K786">
        <f>IF(IFERROR(INDEX(Spots!$K$2:$K$96,MATCH(A786,Spots!$A$2:$A$96,0)),"")="","",IFERROR(INDEX(Spots!$K$2:$K$96,MATCH(A786,Spots!$A$2:$A$96,0)),""))</f>
        <v/>
      </c>
      <c r="L786" s="3">
        <f>IF(OR(K786="",F786=""),"",F786/1000*K786*100)</f>
        <v/>
      </c>
      <c r="M786">
        <f>IF(OR(L786="",L786=0),"",ROUND(100/L786,0))</f>
        <v/>
      </c>
      <c r="N786" t="inlineStr"/>
    </row>
    <row r="787">
      <c r="A787" t="n">
        <v>184</v>
      </c>
      <c r="B787" t="inlineStr">
        <is>
          <t>Nymphamare Castle</t>
        </is>
      </c>
      <c r="C787" t="inlineStr">
        <is>
          <t>Deboreka Ring</t>
        </is>
      </c>
      <c r="D787" t="n">
        <v>0.04235911</v>
      </c>
      <c r="E787" t="n">
        <v>5774.9</v>
      </c>
      <c r="F787" s="3" t="n">
        <v>0.007335037836153007</v>
      </c>
      <c r="G787" t="n">
        <v>136332</v>
      </c>
      <c r="H787" s="3" t="n">
        <v>0.006943356423349219</v>
      </c>
      <c r="I787" s="3" t="n">
        <v>0.007743059149218173</v>
      </c>
      <c r="J787" t="n">
        <v>1311.4</v>
      </c>
      <c r="K787">
        <f>IF(IFERROR(INDEX(Spots!$K$2:$K$96,MATCH(A787,Spots!$A$2:$A$96,0)),"")="","",IFERROR(INDEX(Spots!$K$2:$K$96,MATCH(A787,Spots!$A$2:$A$96,0)),""))</f>
        <v/>
      </c>
      <c r="L787" s="3">
        <f>IF(OR(K787="",F787=""),"",F787/1000*K787*100)</f>
        <v/>
      </c>
      <c r="M787">
        <f>IF(OR(L787="",L787=0),"",ROUND(100/L787,0))</f>
        <v/>
      </c>
      <c r="N787" t="inlineStr"/>
    </row>
    <row r="788">
      <c r="A788" t="n">
        <v>184</v>
      </c>
      <c r="B788" t="inlineStr">
        <is>
          <t>Nymphamare Castle</t>
        </is>
      </c>
      <c r="C788" t="inlineStr">
        <is>
          <t>Deboreka Necklace</t>
        </is>
      </c>
      <c r="D788" t="n">
        <v>0.04199794</v>
      </c>
      <c r="E788" t="n">
        <v>5774.9</v>
      </c>
      <c r="F788" s="3" t="n">
        <v>0.007272496493445775</v>
      </c>
      <c r="G788" t="n">
        <v>137504</v>
      </c>
      <c r="H788" s="3" t="n">
        <v>0.006882511304469618</v>
      </c>
      <c r="I788" s="3" t="n">
        <v>0.007678822224183233</v>
      </c>
      <c r="J788" t="n">
        <v>1300.2</v>
      </c>
      <c r="K788">
        <f>IF(IFERROR(INDEX(Spots!$K$2:$K$96,MATCH(A788,Spots!$A$2:$A$96,0)),"")="","",IFERROR(INDEX(Spots!$K$2:$K$96,MATCH(A788,Spots!$A$2:$A$96,0)),""))</f>
        <v/>
      </c>
      <c r="L788" s="3">
        <f>IF(OR(K788="",F788=""),"",F788/1000*K788*100)</f>
        <v/>
      </c>
      <c r="M788">
        <f>IF(OR(L788="",L788=0),"",ROUND(100/L788,0))</f>
        <v/>
      </c>
      <c r="N788" t="inlineStr"/>
    </row>
    <row r="789">
      <c r="A789" t="n">
        <v>184</v>
      </c>
      <c r="B789" t="inlineStr">
        <is>
          <t>Nymphamare Castle</t>
        </is>
      </c>
      <c r="C789" t="inlineStr">
        <is>
          <t>BON Crystal of Dusky Ruin</t>
        </is>
      </c>
      <c r="D789" t="n">
        <v>0.00931499</v>
      </c>
      <c r="E789" t="n">
        <v>5774.9</v>
      </c>
      <c r="F789" s="3" t="n">
        <v>0.001613013212349998</v>
      </c>
      <c r="G789" t="n">
        <v>619958</v>
      </c>
      <c r="H789" s="3" t="n">
        <v>0.001432189893311072</v>
      </c>
      <c r="I789" s="3" t="n">
        <v>0.001810344502370438</v>
      </c>
      <c r="J789" t="n">
        <v>288.4</v>
      </c>
      <c r="K789">
        <f>IF(IFERROR(INDEX(Spots!$K$2:$K$96,MATCH(A789,Spots!$A$2:$A$96,0)),"")="","",IFERROR(INDEX(Spots!$K$2:$K$96,MATCH(A789,Spots!$A$2:$A$96,0)),""))</f>
        <v/>
      </c>
      <c r="L789" s="3">
        <f>IF(OR(K789="",F789=""),"",F789/1000*K789*100)</f>
        <v/>
      </c>
      <c r="M789">
        <f>IF(OR(L789="",L789=0),"",ROUND(100/L789,0))</f>
        <v/>
      </c>
      <c r="N789" t="inlineStr"/>
    </row>
    <row r="790">
      <c r="A790" t="n">
        <v>184</v>
      </c>
      <c r="B790" t="inlineStr">
        <is>
          <t>Nymphamare Castle</t>
        </is>
      </c>
      <c r="C790" t="inlineStr">
        <is>
          <t>Distorted Crystal of Origin</t>
        </is>
      </c>
      <c r="D790" t="n">
        <v>0.00096995</v>
      </c>
      <c r="E790" t="n">
        <v>5774.9</v>
      </c>
      <c r="F790" s="3" t="n">
        <v>0.0001679596183483697</v>
      </c>
      <c r="G790" t="n">
        <v>5953812</v>
      </c>
      <c r="H790" s="3" t="n">
        <v>0.0001133219478085949</v>
      </c>
      <c r="I790" s="3" t="n">
        <v>0.0002397428205205835</v>
      </c>
      <c r="J790" t="n">
        <v>30</v>
      </c>
      <c r="K790">
        <f>IF(IFERROR(INDEX(Spots!$K$2:$K$96,MATCH(A790,Spots!$A$2:$A$96,0)),"")="","",IFERROR(INDEX(Spots!$K$2:$K$96,MATCH(A790,Spots!$A$2:$A$96,0)),""))</f>
        <v/>
      </c>
      <c r="L790" s="3">
        <f>IF(OR(K790="",F790=""),"",F790/1000*K790*100)</f>
        <v/>
      </c>
      <c r="M790">
        <f>IF(OR(L790="",L790=0),"",ROUND(100/L790,0))</f>
        <v/>
      </c>
      <c r="N790" t="inlineStr"/>
    </row>
    <row r="791">
      <c r="A791" t="n">
        <v>184</v>
      </c>
      <c r="B791" t="inlineStr">
        <is>
          <t>Nymphamare Castle</t>
        </is>
      </c>
      <c r="C791" t="inlineStr">
        <is>
          <t>Silent Crystal of Origin</t>
        </is>
      </c>
      <c r="D791" t="n">
        <v>0.0002542</v>
      </c>
      <c r="E791" t="n">
        <v>5774.9</v>
      </c>
      <c r="F791" s="3" t="n">
        <v>4.401807823512095e-05</v>
      </c>
      <c r="G791" t="n">
        <v>22717939</v>
      </c>
      <c r="H791" s="3" t="n">
        <v>1.879298810726865e-05</v>
      </c>
      <c r="I791" s="3" t="n">
        <v>8.72039211986292e-05</v>
      </c>
      <c r="J791" t="n">
        <v>7.9</v>
      </c>
      <c r="K791">
        <f>IF(IFERROR(INDEX(Spots!$K$2:$K$96,MATCH(A791,Spots!$A$2:$A$96,0)),"")="","",IFERROR(INDEX(Spots!$K$2:$K$96,MATCH(A791,Spots!$A$2:$A$96,0)),""))</f>
        <v/>
      </c>
      <c r="L791" s="3">
        <f>IF(OR(K791="",F791=""),"",F791/1000*K791*100)</f>
        <v/>
      </c>
      <c r="M791">
        <f>IF(OR(L791="",L791=0),"",ROUND(100/L791,0))</f>
        <v/>
      </c>
      <c r="N791" t="inlineStr">
        <is>
          <t>low sample</t>
        </is>
      </c>
    </row>
    <row r="792">
      <c r="A792" t="n">
        <v>5</v>
      </c>
      <c r="B792" t="inlineStr">
        <is>
          <t>Olun's Valley</t>
        </is>
      </c>
      <c r="C792" t="inlineStr">
        <is>
          <t>Black Stone</t>
        </is>
      </c>
      <c r="D792" t="n">
        <v>104.24</v>
      </c>
      <c r="E792" t="n">
        <v>2511.1</v>
      </c>
      <c r="F792" s="3" t="n">
        <v>41.51168810481462</v>
      </c>
      <c r="G792" t="n">
        <v>24</v>
      </c>
      <c r="H792" s="3" t="n">
        <v>41.07813676035382</v>
      </c>
      <c r="I792" s="3" t="n">
        <v>41.94867493745697</v>
      </c>
      <c r="J792" t="n">
        <v>35036.8</v>
      </c>
      <c r="K792">
        <f>IF(IFERROR(INDEX(Spots!$K$2:$K$96,MATCH(A792,Spots!$A$2:$A$96,0)),"")="","",IFERROR(INDEX(Spots!$K$2:$K$96,MATCH(A792,Spots!$A$2:$A$96,0)),""))</f>
        <v/>
      </c>
      <c r="L792" s="3">
        <f>IF(OR(K792="",F792=""),"",F792/1000*K792*100)</f>
        <v/>
      </c>
      <c r="M792">
        <f>IF(OR(L792="",L792=0),"",ROUND(100/L792,0))</f>
        <v/>
      </c>
      <c r="N792" t="inlineStr"/>
    </row>
    <row r="793">
      <c r="A793" t="n">
        <v>5</v>
      </c>
      <c r="B793" t="inlineStr">
        <is>
          <t>Olun's Valley</t>
        </is>
      </c>
      <c r="C793" t="inlineStr">
        <is>
          <t>Ancient Spirit Dust</t>
        </is>
      </c>
      <c r="D793" t="n">
        <v>31.427</v>
      </c>
      <c r="E793" t="n">
        <v>2511.1</v>
      </c>
      <c r="F793" s="3" t="n">
        <v>12.51523236828482</v>
      </c>
      <c r="G793" t="n">
        <v>80</v>
      </c>
      <c r="H793" s="3" t="n">
        <v>12.27768603990637</v>
      </c>
      <c r="I793" s="3" t="n">
        <v>12.75621926241089</v>
      </c>
      <c r="J793" t="n">
        <v>10563.1</v>
      </c>
      <c r="K793">
        <f>IF(IFERROR(INDEX(Spots!$K$2:$K$96,MATCH(A793,Spots!$A$2:$A$96,0)),"")="","",IFERROR(INDEX(Spots!$K$2:$K$96,MATCH(A793,Spots!$A$2:$A$96,0)),""))</f>
        <v/>
      </c>
      <c r="L793" s="3">
        <f>IF(OR(K793="",F793=""),"",F793/1000*K793*100)</f>
        <v/>
      </c>
      <c r="M793">
        <f>IF(OR(L793="",L793=0),"",ROUND(100/L793,0))</f>
        <v/>
      </c>
      <c r="N793" t="inlineStr"/>
    </row>
    <row r="794">
      <c r="A794" t="n">
        <v>5</v>
      </c>
      <c r="B794" t="inlineStr">
        <is>
          <t>Olun's Valley</t>
        </is>
      </c>
      <c r="C794" t="inlineStr">
        <is>
          <t>Caphras Stone</t>
        </is>
      </c>
      <c r="D794" t="n">
        <v>19.667</v>
      </c>
      <c r="E794" t="n">
        <v>2511.1</v>
      </c>
      <c r="F794" s="3" t="n">
        <v>7.832025805423918</v>
      </c>
      <c r="G794" t="n">
        <v>128</v>
      </c>
      <c r="H794" s="3" t="n">
        <v>7.644344181286405</v>
      </c>
      <c r="I794" s="3" t="n">
        <v>8.023150964662843</v>
      </c>
      <c r="J794" t="n">
        <v>6610.4</v>
      </c>
      <c r="K794">
        <f>IF(IFERROR(INDEX(Spots!$K$2:$K$96,MATCH(A794,Spots!$A$2:$A$96,0)),"")="","",IFERROR(INDEX(Spots!$K$2:$K$96,MATCH(A794,Spots!$A$2:$A$96,0)),""))</f>
        <v/>
      </c>
      <c r="L794" s="3">
        <f>IF(OR(K794="",F794=""),"",F794/1000*K794*100)</f>
        <v/>
      </c>
      <c r="M794">
        <f>IF(OR(L794="",L794=0),"",ROUND(100/L794,0))</f>
        <v/>
      </c>
      <c r="N794" t="inlineStr"/>
    </row>
    <row r="795">
      <c r="A795" t="n">
        <v>5</v>
      </c>
      <c r="B795" t="inlineStr">
        <is>
          <t>Olun's Valley</t>
        </is>
      </c>
      <c r="C795" t="inlineStr">
        <is>
          <t>Purple Floating Stone Fragment</t>
        </is>
      </c>
      <c r="D795" t="n">
        <v>10.644</v>
      </c>
      <c r="E795" t="n">
        <v>2511.1</v>
      </c>
      <c r="F795" s="3" t="n">
        <v>4.238779817609813</v>
      </c>
      <c r="G795" t="n">
        <v>236</v>
      </c>
      <c r="H795" s="3" t="n">
        <v>4.101006018178783</v>
      </c>
      <c r="I795" s="3" t="n">
        <v>4.380002250826324</v>
      </c>
      <c r="J795" t="n">
        <v>3577.6</v>
      </c>
      <c r="K795">
        <f>IF(IFERROR(INDEX(Spots!$K$2:$K$96,MATCH(A795,Spots!$A$2:$A$96,0)),"")="","",IFERROR(INDEX(Spots!$K$2:$K$96,MATCH(A795,Spots!$A$2:$A$96,0)),""))</f>
        <v/>
      </c>
      <c r="L795" s="3">
        <f>IF(OR(K795="",F795=""),"",F795/1000*K795*100)</f>
        <v/>
      </c>
      <c r="M795">
        <f>IF(OR(L795="",L795=0),"",ROUND(100/L795,0))</f>
        <v/>
      </c>
      <c r="N795" t="inlineStr"/>
    </row>
    <row r="796">
      <c r="A796" t="n">
        <v>5</v>
      </c>
      <c r="B796" t="inlineStr">
        <is>
          <t>Olun's Valley</t>
        </is>
      </c>
      <c r="C796" t="inlineStr">
        <is>
          <t>Trace of Nature</t>
        </is>
      </c>
      <c r="D796" t="n">
        <v>4.798787</v>
      </c>
      <c r="E796" t="n">
        <v>2511.1</v>
      </c>
      <c r="F796" s="3" t="n">
        <v>1.911029827565609</v>
      </c>
      <c r="G796" t="n">
        <v>523</v>
      </c>
      <c r="H796" s="3" t="n">
        <v>1.818892887976105</v>
      </c>
      <c r="I796" s="3" t="n">
        <v>2.006624812629716</v>
      </c>
      <c r="J796" t="n">
        <v>1613</v>
      </c>
      <c r="K796">
        <f>IF(IFERROR(INDEX(Spots!$K$2:$K$96,MATCH(A796,Spots!$A$2:$A$96,0)),"")="","",IFERROR(INDEX(Spots!$K$2:$K$96,MATCH(A796,Spots!$A$2:$A$96,0)),""))</f>
        <v/>
      </c>
      <c r="L796" s="3">
        <f>IF(OR(K796="",F796=""),"",F796/1000*K796*100)</f>
        <v/>
      </c>
      <c r="M796">
        <f>IF(OR(L796="",L796=0),"",ROUND(100/L796,0))</f>
        <v/>
      </c>
      <c r="N796" t="inlineStr"/>
    </row>
    <row r="797">
      <c r="A797" t="n">
        <v>5</v>
      </c>
      <c r="B797" t="inlineStr">
        <is>
          <t>Olun's Valley</t>
        </is>
      </c>
      <c r="C797" t="inlineStr">
        <is>
          <t>Venomous Night Fang</t>
        </is>
      </c>
      <c r="D797" t="n">
        <v>1.600789</v>
      </c>
      <c r="E797" t="n">
        <v>2511.1</v>
      </c>
      <c r="F797" s="3" t="n">
        <v>0.6374851658635657</v>
      </c>
      <c r="G797" t="n">
        <v>1569</v>
      </c>
      <c r="H797" s="3" t="n">
        <v>0.5847492593842926</v>
      </c>
      <c r="I797" s="3" t="n">
        <v>0.6936999420979111</v>
      </c>
      <c r="J797" t="n">
        <v>538.1</v>
      </c>
      <c r="K797">
        <f>IF(IFERROR(INDEX(Spots!$K$2:$K$96,MATCH(A797,Spots!$A$2:$A$96,0)),"")="","",IFERROR(INDEX(Spots!$K$2:$K$96,MATCH(A797,Spots!$A$2:$A$96,0)),""))</f>
        <v/>
      </c>
      <c r="L797" s="3">
        <f>IF(OR(K797="",F797=""),"",F797/1000*K797*100)</f>
        <v/>
      </c>
      <c r="M797">
        <f>IF(OR(L797="",L797=0),"",ROUND(100/L797,0))</f>
        <v/>
      </c>
      <c r="N797" t="inlineStr"/>
    </row>
    <row r="798">
      <c r="A798" t="n">
        <v>5</v>
      </c>
      <c r="B798" t="inlineStr">
        <is>
          <t>Olun's Valley</t>
        </is>
      </c>
      <c r="C798" t="inlineStr">
        <is>
          <t>Quturan's Ashen Leaf</t>
        </is>
      </c>
      <c r="D798" t="n">
        <v>0.85039854</v>
      </c>
      <c r="E798" t="n">
        <v>2511.1</v>
      </c>
      <c r="F798" s="3" t="n">
        <v>0.3386557843176298</v>
      </c>
      <c r="G798" t="n">
        <v>2953</v>
      </c>
      <c r="H798" s="3" t="n">
        <v>0.3005278443572146</v>
      </c>
      <c r="I798" s="3" t="n">
        <v>0.3802807823432601</v>
      </c>
      <c r="J798" t="n">
        <v>285.8</v>
      </c>
      <c r="K798">
        <f>IF(IFERROR(INDEX(Spots!$K$2:$K$96,MATCH(A798,Spots!$A$2:$A$96,0)),"")="","",IFERROR(INDEX(Spots!$K$2:$K$96,MATCH(A798,Spots!$A$2:$A$96,0)),""))</f>
        <v/>
      </c>
      <c r="L798" s="3">
        <f>IF(OR(K798="",F798=""),"",F798/1000*K798*100)</f>
        <v/>
      </c>
      <c r="M798">
        <f>IF(OR(L798="",L798=0),"",ROUND(100/L798,0))</f>
        <v/>
      </c>
      <c r="N798" t="inlineStr"/>
    </row>
    <row r="799">
      <c r="A799" t="n">
        <v>5</v>
      </c>
      <c r="B799" t="inlineStr">
        <is>
          <t>Olun's Valley</t>
        </is>
      </c>
      <c r="C799" t="inlineStr">
        <is>
          <t>Olucas</t>
        </is>
      </c>
      <c r="D799" t="n">
        <v>0.38571652</v>
      </c>
      <c r="E799" t="n">
        <v>2511.1</v>
      </c>
      <c r="F799" s="3" t="n">
        <v>0.1536046035601928</v>
      </c>
      <c r="G799" t="n">
        <v>6510</v>
      </c>
      <c r="H799" s="3" t="n">
        <v>0.1283009711171897</v>
      </c>
      <c r="I799" s="3" t="n">
        <v>0.1824374529903663</v>
      </c>
      <c r="J799" t="n">
        <v>129.6</v>
      </c>
      <c r="K799">
        <f>IF(IFERROR(INDEX(Spots!$K$2:$K$96,MATCH(A799,Spots!$A$2:$A$96,0)),"")="","",IFERROR(INDEX(Spots!$K$2:$K$96,MATCH(A799,Spots!$A$2:$A$96,0)),""))</f>
        <v/>
      </c>
      <c r="L799" s="3">
        <f>IF(OR(K799="",F799=""),"",F799/1000*K799*100)</f>
        <v/>
      </c>
      <c r="M799">
        <f>IF(OR(L799="",L799=0),"",ROUND(100/L799,0))</f>
        <v/>
      </c>
      <c r="N799" t="inlineStr"/>
    </row>
    <row r="800">
      <c r="A800" t="n">
        <v>5</v>
      </c>
      <c r="B800" t="inlineStr">
        <is>
          <t>Olun's Valley</t>
        </is>
      </c>
      <c r="C800" t="inlineStr">
        <is>
          <t>Deboreka Earring</t>
        </is>
      </c>
      <c r="D800" t="n">
        <v>0.07633173</v>
      </c>
      <c r="E800" t="n">
        <v>2511.1</v>
      </c>
      <c r="F800" s="3" t="n">
        <v>0.03039772609613317</v>
      </c>
      <c r="G800" t="n">
        <v>32897</v>
      </c>
      <c r="H800" s="3" t="n">
        <v>0.01978903883173401</v>
      </c>
      <c r="I800" s="3" t="n">
        <v>0.04465388496810854</v>
      </c>
      <c r="J800" t="n">
        <v>25.7</v>
      </c>
      <c r="K800">
        <f>IF(IFERROR(INDEX(Spots!$K$2:$K$96,MATCH(A800,Spots!$A$2:$A$96,0)),"")="","",IFERROR(INDEX(Spots!$K$2:$K$96,MATCH(A800,Spots!$A$2:$A$96,0)),""))</f>
        <v/>
      </c>
      <c r="L800" s="3">
        <f>IF(OR(K800="",F800=""),"",F800/1000*K800*100)</f>
        <v/>
      </c>
      <c r="M800">
        <f>IF(OR(L800="",L800=0),"",ROUND(100/L800,0))</f>
        <v/>
      </c>
      <c r="N800" t="inlineStr">
        <is>
          <t>low sample</t>
        </is>
      </c>
    </row>
    <row r="801">
      <c r="A801" t="n">
        <v>5</v>
      </c>
      <c r="B801" t="inlineStr">
        <is>
          <t>Olun's Valley</t>
        </is>
      </c>
      <c r="C801" t="inlineStr">
        <is>
          <t>Any Artifact</t>
        </is>
      </c>
      <c r="D801" t="n">
        <v>0.0399866</v>
      </c>
      <c r="E801" t="n">
        <v>2511.1</v>
      </c>
      <c r="F801" s="3" t="n">
        <v>0.01592393771653857</v>
      </c>
      <c r="G801" t="n">
        <v>62799</v>
      </c>
      <c r="H801" s="3" t="n">
        <v>0.008573526744856414</v>
      </c>
      <c r="I801" s="3" t="n">
        <v>0.02699847067992974</v>
      </c>
      <c r="J801" t="n">
        <v>13.4</v>
      </c>
      <c r="K801">
        <f>IF(IFERROR(INDEX(Spots!$K$2:$K$96,MATCH(A801,Spots!$A$2:$A$96,0)),"")="","",IFERROR(INDEX(Spots!$K$2:$K$96,MATCH(A801,Spots!$A$2:$A$96,0)),""))</f>
        <v/>
      </c>
      <c r="L801" s="3">
        <f>IF(OR(K801="",F801=""),"",F801/1000*K801*100)</f>
        <v/>
      </c>
      <c r="M801">
        <f>IF(OR(L801="",L801=0),"",ROUND(100/L801,0))</f>
        <v/>
      </c>
      <c r="N801" t="inlineStr">
        <is>
          <t>low sample</t>
        </is>
      </c>
    </row>
    <row r="802">
      <c r="A802" t="n">
        <v>5</v>
      </c>
      <c r="B802" t="inlineStr">
        <is>
          <t>Olun's Valley</t>
        </is>
      </c>
      <c r="C802" t="inlineStr">
        <is>
          <t>Olun's Valley Paint</t>
        </is>
      </c>
      <c r="D802" t="n">
        <v>0.03245519</v>
      </c>
      <c r="E802" t="n">
        <v>2511.1</v>
      </c>
      <c r="F802" s="3" t="n">
        <v>0.01292469037473617</v>
      </c>
      <c r="G802" t="n">
        <v>77371</v>
      </c>
      <c r="H802" s="3" t="n">
        <v>0.006421011609650721</v>
      </c>
      <c r="I802" s="3" t="n">
        <v>0.02318188934225971</v>
      </c>
      <c r="J802" t="n">
        <v>10.9</v>
      </c>
      <c r="K802">
        <f>IF(IFERROR(INDEX(Spots!$K$2:$K$96,MATCH(A802,Spots!$A$2:$A$96,0)),"")="","",IFERROR(INDEX(Spots!$K$2:$K$96,MATCH(A802,Spots!$A$2:$A$96,0)),""))</f>
        <v/>
      </c>
      <c r="L802" s="3">
        <f>IF(OR(K802="",F802=""),"",F802/1000*K802*100)</f>
        <v/>
      </c>
      <c r="M802">
        <f>IF(OR(L802="",L802=0),"",ROUND(100/L802,0))</f>
        <v/>
      </c>
      <c r="N802" t="inlineStr">
        <is>
          <t>low sample</t>
        </is>
      </c>
    </row>
    <row r="803">
      <c r="A803" t="n">
        <v>5</v>
      </c>
      <c r="B803" t="inlineStr">
        <is>
          <t>Olun's Valley</t>
        </is>
      </c>
      <c r="C803" t="inlineStr">
        <is>
          <t>Quturan's Right Lung</t>
        </is>
      </c>
      <c r="D803" t="n">
        <v>0.00306177</v>
      </c>
      <c r="E803" t="n">
        <v>2511.1</v>
      </c>
      <c r="F803" s="3" t="n">
        <v>0.001219294333160766</v>
      </c>
      <c r="G803" t="n">
        <v>820147</v>
      </c>
      <c r="H803" s="3" t="n">
        <v>1.859920969295629e-05</v>
      </c>
      <c r="I803" s="3" t="n">
        <v>0.006652011579435139</v>
      </c>
      <c r="J803" t="n">
        <v>1</v>
      </c>
      <c r="K803">
        <f>IF(IFERROR(INDEX(Spots!$K$2:$K$96,MATCH(A803,Spots!$A$2:$A$96,0)),"")="","",IFERROR(INDEX(Spots!$K$2:$K$96,MATCH(A803,Spots!$A$2:$A$96,0)),""))</f>
        <v/>
      </c>
      <c r="L803" s="3">
        <f>IF(OR(K803="",F803=""),"",F803/1000*K803*100)</f>
        <v/>
      </c>
      <c r="M803">
        <f>IF(OR(L803="",L803=0),"",ROUND(100/L803,0))</f>
        <v/>
      </c>
      <c r="N803" t="inlineStr">
        <is>
          <t>low sample</t>
        </is>
      </c>
    </row>
    <row r="804">
      <c r="A804" t="n">
        <v>5</v>
      </c>
      <c r="B804" t="inlineStr">
        <is>
          <t>Olun's Valley</t>
        </is>
      </c>
      <c r="C804" t="inlineStr">
        <is>
          <t>Al Yurad's Ring Piece</t>
        </is>
      </c>
      <c r="D804" t="n">
        <v>0.00182787</v>
      </c>
      <c r="E804" t="n">
        <v>2511.1</v>
      </c>
      <c r="F804" s="3" t="n">
        <v>0.0007279160527258971</v>
      </c>
      <c r="G804" t="n">
        <v>1373785</v>
      </c>
      <c r="H804" s="3" t="n">
        <v>0</v>
      </c>
      <c r="I804" s="3" t="n">
        <v>0.005775532010423583</v>
      </c>
      <c r="J804" t="n">
        <v>0.6</v>
      </c>
      <c r="K804">
        <f>IF(IFERROR(INDEX(Spots!$K$2:$K$96,MATCH(A804,Spots!$A$2:$A$96,0)),"")="","",IFERROR(INDEX(Spots!$K$2:$K$96,MATCH(A804,Spots!$A$2:$A$96,0)),""))</f>
        <v/>
      </c>
      <c r="L804" s="3">
        <f>IF(OR(K804="",F804=""),"",F804/1000*K804*100)</f>
        <v/>
      </c>
      <c r="M804">
        <f>IF(OR(L804="",L804=0),"",ROUND(100/L804,0))</f>
        <v/>
      </c>
      <c r="N804" t="inlineStr">
        <is>
          <t>low sample</t>
        </is>
      </c>
    </row>
    <row r="805">
      <c r="A805" t="n">
        <v>185</v>
      </c>
      <c r="B805" t="inlineStr">
        <is>
          <t>Orbita Castle</t>
        </is>
      </c>
      <c r="C805" t="inlineStr">
        <is>
          <t>Ancient Spirit Dust</t>
        </is>
      </c>
      <c r="D805" t="n">
        <v>30.044</v>
      </c>
      <c r="E805" t="n">
        <v>6136</v>
      </c>
      <c r="F805" s="3" t="n">
        <v>4.896349413298566</v>
      </c>
      <c r="G805" t="n">
        <v>204</v>
      </c>
      <c r="H805" s="3" t="n">
        <v>4.888850251828857</v>
      </c>
      <c r="I805" s="3" t="n">
        <v>4.903857237254628</v>
      </c>
      <c r="J805" t="n">
        <v>1636452.1</v>
      </c>
      <c r="K805">
        <f>IF(IFERROR(INDEX(Spots!$K$2:$K$96,MATCH(A805,Spots!$A$2:$A$96,0)),"")="","",IFERROR(INDEX(Spots!$K$2:$K$96,MATCH(A805,Spots!$A$2:$A$96,0)),""))</f>
        <v/>
      </c>
      <c r="L805" s="3">
        <f>IF(OR(K805="",F805=""),"",F805/1000*K805*100)</f>
        <v/>
      </c>
      <c r="M805">
        <f>IF(OR(L805="",L805=0),"",ROUND(100/L805,0))</f>
        <v/>
      </c>
      <c r="N805" t="inlineStr"/>
    </row>
    <row r="806">
      <c r="A806" t="n">
        <v>185</v>
      </c>
      <c r="B806" t="inlineStr">
        <is>
          <t>Orbita Castle</t>
        </is>
      </c>
      <c r="C806" t="inlineStr">
        <is>
          <t>Black Stone</t>
        </is>
      </c>
      <c r="D806" t="n">
        <v>21.557</v>
      </c>
      <c r="E806" t="n">
        <v>6136</v>
      </c>
      <c r="F806" s="3" t="n">
        <v>3.513200782268579</v>
      </c>
      <c r="G806" t="n">
        <v>285</v>
      </c>
      <c r="H806" s="3" t="n">
        <v>3.506848959872936</v>
      </c>
      <c r="I806" s="3" t="n">
        <v>3.519561267564273</v>
      </c>
      <c r="J806" t="n">
        <v>1174177.8</v>
      </c>
      <c r="K806">
        <f>IF(IFERROR(INDEX(Spots!$K$2:$K$96,MATCH(A806,Spots!$A$2:$A$96,0)),"")="","",IFERROR(INDEX(Spots!$K$2:$K$96,MATCH(A806,Spots!$A$2:$A$96,0)),""))</f>
        <v/>
      </c>
      <c r="L806" s="3">
        <f>IF(OR(K806="",F806=""),"",F806/1000*K806*100)</f>
        <v/>
      </c>
      <c r="M806">
        <f>IF(OR(L806="",L806=0),"",ROUND(100/L806,0))</f>
        <v/>
      </c>
      <c r="N806" t="inlineStr"/>
    </row>
    <row r="807">
      <c r="A807" t="n">
        <v>185</v>
      </c>
      <c r="B807" t="inlineStr">
        <is>
          <t>Orbita Castle</t>
        </is>
      </c>
      <c r="C807" t="inlineStr">
        <is>
          <t>Caphras Stone</t>
        </is>
      </c>
      <c r="D807" t="n">
        <v>11.12</v>
      </c>
      <c r="E807" t="n">
        <v>6136</v>
      </c>
      <c r="F807" s="3" t="n">
        <v>1.8122555410691</v>
      </c>
      <c r="G807" t="n">
        <v>552</v>
      </c>
      <c r="H807" s="3" t="n">
        <v>1.807694326306568</v>
      </c>
      <c r="I807" s="3" t="n">
        <v>1.816825419792821</v>
      </c>
      <c r="J807" t="n">
        <v>605689.9</v>
      </c>
      <c r="K807">
        <f>IF(IFERROR(INDEX(Spots!$K$2:$K$96,MATCH(A807,Spots!$A$2:$A$96,0)),"")="","",IFERROR(INDEX(Spots!$K$2:$K$96,MATCH(A807,Spots!$A$2:$A$96,0)),""))</f>
        <v/>
      </c>
      <c r="L807" s="3">
        <f>IF(OR(K807="",F807=""),"",F807/1000*K807*100)</f>
        <v/>
      </c>
      <c r="M807">
        <f>IF(OR(L807="",L807=0),"",ROUND(100/L807,0))</f>
        <v/>
      </c>
      <c r="N807" t="inlineStr"/>
    </row>
    <row r="808">
      <c r="A808" t="n">
        <v>185</v>
      </c>
      <c r="B808" t="inlineStr">
        <is>
          <t>Orbita Castle</t>
        </is>
      </c>
      <c r="C808" t="inlineStr">
        <is>
          <t>JIN Crystal of Ruin</t>
        </is>
      </c>
      <c r="D808" t="n">
        <v>2.590035</v>
      </c>
      <c r="E808" t="n">
        <v>6136</v>
      </c>
      <c r="F808" s="3" t="n">
        <v>0.4221047913950456</v>
      </c>
      <c r="G808" t="n">
        <v>2369</v>
      </c>
      <c r="H808" s="3" t="n">
        <v>0.4199049499878098</v>
      </c>
      <c r="I808" s="3" t="n">
        <v>0.4243133007991301</v>
      </c>
      <c r="J808" t="n">
        <v>141075.4</v>
      </c>
      <c r="K808">
        <f>IF(IFERROR(INDEX(Spots!$K$2:$K$96,MATCH(A808,Spots!$A$2:$A$96,0)),"")="","",IFERROR(INDEX(Spots!$K$2:$K$96,MATCH(A808,Spots!$A$2:$A$96,0)),""))</f>
        <v/>
      </c>
      <c r="L808" s="3">
        <f>IF(OR(K808="",F808=""),"",F808/1000*K808*100)</f>
        <v/>
      </c>
      <c r="M808">
        <f>IF(OR(L808="",L808=0),"",ROUND(100/L808,0))</f>
        <v/>
      </c>
      <c r="N808" t="inlineStr"/>
    </row>
    <row r="809">
      <c r="A809" t="n">
        <v>185</v>
      </c>
      <c r="B809" t="inlineStr">
        <is>
          <t>Orbita Castle</t>
        </is>
      </c>
      <c r="C809" t="inlineStr">
        <is>
          <t>Crystallized Energy of Endtimes</t>
        </is>
      </c>
      <c r="D809" t="n">
        <v>1.923823</v>
      </c>
      <c r="E809" t="n">
        <v>6136</v>
      </c>
      <c r="F809" s="3" t="n">
        <v>0.3135304758800522</v>
      </c>
      <c r="G809" t="n">
        <v>3189</v>
      </c>
      <c r="H809" s="3" t="n">
        <v>0.3116349429684194</v>
      </c>
      <c r="I809" s="3" t="n">
        <v>0.3154346780384018</v>
      </c>
      <c r="J809" t="n">
        <v>104787.8</v>
      </c>
      <c r="K809">
        <f>IF(IFERROR(INDEX(Spots!$K$2:$K$96,MATCH(A809,Spots!$A$2:$A$96,0)),"")="","",IFERROR(INDEX(Spots!$K$2:$K$96,MATCH(A809,Spots!$A$2:$A$96,0)),""))</f>
        <v/>
      </c>
      <c r="L809" s="3">
        <f>IF(OR(K809="",F809=""),"",F809/1000*K809*100)</f>
        <v/>
      </c>
      <c r="M809">
        <f>IF(OR(L809="",L809=0),"",ROUND(100/L809,0))</f>
        <v/>
      </c>
      <c r="N809" t="inlineStr"/>
    </row>
    <row r="810">
      <c r="A810" t="n">
        <v>185</v>
      </c>
      <c r="B810" t="inlineStr">
        <is>
          <t>Orbita Castle</t>
        </is>
      </c>
      <c r="C810" t="inlineStr">
        <is>
          <t>Distorted Fragment of Origin</t>
        </is>
      </c>
      <c r="D810" t="n">
        <v>0.81415991</v>
      </c>
      <c r="E810" t="n">
        <v>6136</v>
      </c>
      <c r="F810" s="3" t="n">
        <v>0.1326857741199478</v>
      </c>
      <c r="G810" t="n">
        <v>7537</v>
      </c>
      <c r="H810" s="3" t="n">
        <v>0.1314536506611594</v>
      </c>
      <c r="I810" s="3" t="n">
        <v>0.133926571683179</v>
      </c>
      <c r="J810" t="n">
        <v>44346.1</v>
      </c>
      <c r="K810">
        <f>IF(IFERROR(INDEX(Spots!$K$2:$K$96,MATCH(A810,Spots!$A$2:$A$96,0)),"")="","",IFERROR(INDEX(Spots!$K$2:$K$96,MATCH(A810,Spots!$A$2:$A$96,0)),""))</f>
        <v/>
      </c>
      <c r="L810" s="3">
        <f>IF(OR(K810="",F810=""),"",F810/1000*K810*100)</f>
        <v/>
      </c>
      <c r="M810">
        <f>IF(OR(L810="",L810=0),"",ROUND(100/L810,0))</f>
        <v/>
      </c>
      <c r="N810" t="inlineStr"/>
    </row>
    <row r="811">
      <c r="A811" t="n">
        <v>185</v>
      </c>
      <c r="B811" t="inlineStr">
        <is>
          <t>Orbita Castle</t>
        </is>
      </c>
      <c r="C811" t="inlineStr">
        <is>
          <t>Deboreka Earring</t>
        </is>
      </c>
      <c r="D811" t="n">
        <v>0.10621473</v>
      </c>
      <c r="E811" t="n">
        <v>6136</v>
      </c>
      <c r="F811" s="3" t="n">
        <v>0.01731009289439374</v>
      </c>
      <c r="G811" t="n">
        <v>57770</v>
      </c>
      <c r="H811" s="3" t="n">
        <v>0.01686687611396389</v>
      </c>
      <c r="I811" s="3" t="n">
        <v>0.0177620083099253</v>
      </c>
      <c r="J811" t="n">
        <v>5785.4</v>
      </c>
      <c r="K811">
        <f>IF(IFERROR(INDEX(Spots!$K$2:$K$96,MATCH(A811,Spots!$A$2:$A$96,0)),"")="","",IFERROR(INDEX(Spots!$K$2:$K$96,MATCH(A811,Spots!$A$2:$A$96,0)),""))</f>
        <v/>
      </c>
      <c r="L811" s="3">
        <f>IF(OR(K811="",F811=""),"",F811/1000*K811*100)</f>
        <v/>
      </c>
      <c r="M811">
        <f>IF(OR(L811="",L811=0),"",ROUND(100/L811,0))</f>
        <v/>
      </c>
      <c r="N811" t="inlineStr"/>
    </row>
    <row r="812">
      <c r="A812" t="n">
        <v>185</v>
      </c>
      <c r="B812" t="inlineStr">
        <is>
          <t>Orbita Castle</t>
        </is>
      </c>
      <c r="C812" t="inlineStr">
        <is>
          <t>Deboreka Ring</t>
        </is>
      </c>
      <c r="D812" t="n">
        <v>0.10059201</v>
      </c>
      <c r="E812" t="n">
        <v>6136</v>
      </c>
      <c r="F812" s="3" t="n">
        <v>0.01639374348109517</v>
      </c>
      <c r="G812" t="n">
        <v>60999</v>
      </c>
      <c r="H812" s="3" t="n">
        <v>0.01596249392016112</v>
      </c>
      <c r="I812" s="3" t="n">
        <v>0.01683369273371654</v>
      </c>
      <c r="J812" t="n">
        <v>5479.1</v>
      </c>
      <c r="K812">
        <f>IF(IFERROR(INDEX(Spots!$K$2:$K$96,MATCH(A812,Spots!$A$2:$A$96,0)),"")="","",IFERROR(INDEX(Spots!$K$2:$K$96,MATCH(A812,Spots!$A$2:$A$96,0)),""))</f>
        <v/>
      </c>
      <c r="L812" s="3">
        <f>IF(OR(K812="",F812=""),"",F812/1000*K812*100)</f>
        <v/>
      </c>
      <c r="M812">
        <f>IF(OR(L812="",L812=0),"",ROUND(100/L812,0))</f>
        <v/>
      </c>
      <c r="N812" t="inlineStr"/>
    </row>
    <row r="813">
      <c r="A813" t="n">
        <v>185</v>
      </c>
      <c r="B813" t="inlineStr">
        <is>
          <t>Orbita Castle</t>
        </is>
      </c>
      <c r="C813" t="inlineStr">
        <is>
          <t>Silent Fragment of Origin</t>
        </is>
      </c>
      <c r="D813" t="n">
        <v>0.08599683</v>
      </c>
      <c r="E813" t="n">
        <v>6136</v>
      </c>
      <c r="F813" s="3" t="n">
        <v>0.01401512874837027</v>
      </c>
      <c r="G813" t="n">
        <v>71351</v>
      </c>
      <c r="H813" s="3" t="n">
        <v>0.01361660490779056</v>
      </c>
      <c r="I813" s="3" t="n">
        <v>0.01442235549066911</v>
      </c>
      <c r="J813" t="n">
        <v>4684.1</v>
      </c>
      <c r="K813">
        <f>IF(IFERROR(INDEX(Spots!$K$2:$K$96,MATCH(A813,Spots!$A$2:$A$96,0)),"")="","",IFERROR(INDEX(Spots!$K$2:$K$96,MATCH(A813,Spots!$A$2:$A$96,0)),""))</f>
        <v/>
      </c>
      <c r="L813" s="3">
        <f>IF(OR(K813="",F813=""),"",F813/1000*K813*100)</f>
        <v/>
      </c>
      <c r="M813">
        <f>IF(OR(L813="",L813=0),"",ROUND(100/L813,0))</f>
        <v/>
      </c>
      <c r="N813" t="inlineStr"/>
    </row>
    <row r="814">
      <c r="A814" t="n">
        <v>185</v>
      </c>
      <c r="B814" t="inlineStr">
        <is>
          <t>Orbita Castle</t>
        </is>
      </c>
      <c r="C814" t="inlineStr">
        <is>
          <t>Deboreka Belt</t>
        </is>
      </c>
      <c r="D814" t="n">
        <v>0.0528216</v>
      </c>
      <c r="E814" t="n">
        <v>6136</v>
      </c>
      <c r="F814" s="3" t="n">
        <v>0.008608474576271188</v>
      </c>
      <c r="G814" t="n">
        <v>116165</v>
      </c>
      <c r="H814" s="3" t="n">
        <v>0.008296757114036969</v>
      </c>
      <c r="I814" s="3" t="n">
        <v>0.008928906676913853</v>
      </c>
      <c r="J814" t="n">
        <v>2877.1</v>
      </c>
      <c r="K814">
        <f>IF(IFERROR(INDEX(Spots!$K$2:$K$96,MATCH(A814,Spots!$A$2:$A$96,0)),"")="","",IFERROR(INDEX(Spots!$K$2:$K$96,MATCH(A814,Spots!$A$2:$A$96,0)),""))</f>
        <v/>
      </c>
      <c r="L814" s="3">
        <f>IF(OR(K814="",F814=""),"",F814/1000*K814*100)</f>
        <v/>
      </c>
      <c r="M814">
        <f>IF(OR(L814="",L814=0),"",ROUND(100/L814,0))</f>
        <v/>
      </c>
      <c r="N814" t="inlineStr"/>
    </row>
    <row r="815">
      <c r="A815" t="n">
        <v>185</v>
      </c>
      <c r="B815" t="inlineStr">
        <is>
          <t>Orbita Castle</t>
        </is>
      </c>
      <c r="C815" t="inlineStr">
        <is>
          <t>Deboreka Necklace</t>
        </is>
      </c>
      <c r="D815" t="n">
        <v>0.05191596</v>
      </c>
      <c r="E815" t="n">
        <v>6136</v>
      </c>
      <c r="F815" s="3" t="n">
        <v>0.008460880052151239</v>
      </c>
      <c r="G815" t="n">
        <v>118191</v>
      </c>
      <c r="H815" s="3" t="n">
        <v>0.008151870930270554</v>
      </c>
      <c r="I815" s="3" t="n">
        <v>0.008778604283282379</v>
      </c>
      <c r="J815" t="n">
        <v>2827.8</v>
      </c>
      <c r="K815">
        <f>IF(IFERROR(INDEX(Spots!$K$2:$K$96,MATCH(A815,Spots!$A$2:$A$96,0)),"")="","",IFERROR(INDEX(Spots!$K$2:$K$96,MATCH(A815,Spots!$A$2:$A$96,0)),""))</f>
        <v/>
      </c>
      <c r="L815" s="3">
        <f>IF(OR(K815="",F815=""),"",F815/1000*K815*100)</f>
        <v/>
      </c>
      <c r="M815">
        <f>IF(OR(L815="",L815=0),"",ROUND(100/L815,0))</f>
        <v/>
      </c>
      <c r="N815" t="inlineStr"/>
    </row>
    <row r="816">
      <c r="A816" t="n">
        <v>185</v>
      </c>
      <c r="B816" t="inlineStr">
        <is>
          <t>Orbita Castle</t>
        </is>
      </c>
      <c r="C816" t="inlineStr">
        <is>
          <t>JIN Crystal of Dusky Ruin</t>
        </is>
      </c>
      <c r="D816" t="n">
        <v>0.01210059</v>
      </c>
      <c r="E816" t="n">
        <v>6136</v>
      </c>
      <c r="F816" s="3" t="n">
        <v>0.001972064863102999</v>
      </c>
      <c r="G816" t="n">
        <v>507083</v>
      </c>
      <c r="H816" s="3" t="n">
        <v>0.001824359620634984</v>
      </c>
      <c r="I816" s="3" t="n">
        <v>0.002128543529808725</v>
      </c>
      <c r="J816" t="n">
        <v>659.1</v>
      </c>
      <c r="K816">
        <f>IF(IFERROR(INDEX(Spots!$K$2:$K$96,MATCH(A816,Spots!$A$2:$A$96,0)),"")="","",IFERROR(INDEX(Spots!$K$2:$K$96,MATCH(A816,Spots!$A$2:$A$96,0)),""))</f>
        <v/>
      </c>
      <c r="L816" s="3">
        <f>IF(OR(K816="",F816=""),"",F816/1000*K816*100)</f>
        <v/>
      </c>
      <c r="M816">
        <f>IF(OR(L816="",L816=0),"",ROUND(100/L816,0))</f>
        <v/>
      </c>
      <c r="N816" t="inlineStr"/>
    </row>
    <row r="817">
      <c r="A817" t="n">
        <v>185</v>
      </c>
      <c r="B817" t="inlineStr">
        <is>
          <t>Orbita Castle</t>
        </is>
      </c>
      <c r="C817" t="inlineStr">
        <is>
          <t>Distorted Crystal of Origin</t>
        </is>
      </c>
      <c r="D817" t="n">
        <v>0.00112955</v>
      </c>
      <c r="E817" t="n">
        <v>6136</v>
      </c>
      <c r="F817" s="3" t="n">
        <v>0.0001840857235984355</v>
      </c>
      <c r="G817" t="n">
        <v>5432252</v>
      </c>
      <c r="H817" s="3" t="n">
        <v>0.0001409750514796326</v>
      </c>
      <c r="I817" s="3" t="n">
        <v>0.0002362192292825241</v>
      </c>
      <c r="J817" t="n">
        <v>61.5</v>
      </c>
      <c r="K817">
        <f>IF(IFERROR(INDEX(Spots!$K$2:$K$96,MATCH(A817,Spots!$A$2:$A$96,0)),"")="","",IFERROR(INDEX(Spots!$K$2:$K$96,MATCH(A817,Spots!$A$2:$A$96,0)),""))</f>
        <v/>
      </c>
      <c r="L817" s="3">
        <f>IF(OR(K817="",F817=""),"",F817/1000*K817*100)</f>
        <v/>
      </c>
      <c r="M817">
        <f>IF(OR(L817="",L817=0),"",ROUND(100/L817,0))</f>
        <v/>
      </c>
      <c r="N817" t="inlineStr"/>
    </row>
    <row r="818">
      <c r="A818" t="n">
        <v>185</v>
      </c>
      <c r="B818" t="inlineStr">
        <is>
          <t>Orbita Castle</t>
        </is>
      </c>
      <c r="C818" t="inlineStr">
        <is>
          <t>Silent Crystal of Origin</t>
        </is>
      </c>
      <c r="D818" t="n">
        <v>0.00039994</v>
      </c>
      <c r="E818" t="n">
        <v>6136</v>
      </c>
      <c r="F818" s="3" t="n">
        <v>6.517926988265971e-05</v>
      </c>
      <c r="G818" t="n">
        <v>15342301</v>
      </c>
      <c r="H818" s="3" t="n">
        <v>4.072731266042037e-05</v>
      </c>
      <c r="I818" s="3" t="n">
        <v>9.888650173492009e-05</v>
      </c>
      <c r="J818" t="n">
        <v>21.8</v>
      </c>
      <c r="K818">
        <f>IF(IFERROR(INDEX(Spots!$K$2:$K$96,MATCH(A818,Spots!$A$2:$A$96,0)),"")="","",IFERROR(INDEX(Spots!$K$2:$K$96,MATCH(A818,Spots!$A$2:$A$96,0)),""))</f>
        <v/>
      </c>
      <c r="L818" s="3">
        <f>IF(OR(K818="",F818=""),"",F818/1000*K818*100)</f>
        <v/>
      </c>
      <c r="M818">
        <f>IF(OR(L818="",L818=0),"",ROUND(100/L818,0))</f>
        <v/>
      </c>
      <c r="N818" t="inlineStr">
        <is>
          <t>low sample</t>
        </is>
      </c>
    </row>
    <row r="819">
      <c r="A819" t="n">
        <v>17</v>
      </c>
      <c r="B819" t="inlineStr">
        <is>
          <t>Orc Camp</t>
        </is>
      </c>
      <c r="C819" t="inlineStr">
        <is>
          <t>Black Stone</t>
        </is>
      </c>
      <c r="D819" t="n">
        <v>52.349</v>
      </c>
      <c r="E819" t="n">
        <v>8639.200000000001</v>
      </c>
      <c r="F819" s="3" t="n">
        <v>6.059473099361051</v>
      </c>
      <c r="G819" t="n">
        <v>165</v>
      </c>
      <c r="H819" s="3" t="n">
        <v>6.021505871609464</v>
      </c>
      <c r="I819" s="3" t="n">
        <v>6.097620315826338</v>
      </c>
      <c r="J819" t="n">
        <v>97548</v>
      </c>
      <c r="K819">
        <f>IF(IFERROR(INDEX(Spots!$K$2:$K$96,MATCH(A819,Spots!$A$2:$A$96,0)),"")="","",IFERROR(INDEX(Spots!$K$2:$K$96,MATCH(A819,Spots!$A$2:$A$96,0)),""))</f>
        <v/>
      </c>
      <c r="L819" s="3">
        <f>IF(OR(K819="",F819=""),"",F819/1000*K819*100)</f>
        <v/>
      </c>
      <c r="M819">
        <f>IF(OR(L819="",L819=0),"",ROUND(100/L819,0))</f>
        <v/>
      </c>
      <c r="N819" t="inlineStr"/>
    </row>
    <row r="820">
      <c r="A820" t="n">
        <v>17</v>
      </c>
      <c r="B820" t="inlineStr">
        <is>
          <t>Orc Camp</t>
        </is>
      </c>
      <c r="C820" t="inlineStr">
        <is>
          <t>Trace of Nature</t>
        </is>
      </c>
      <c r="D820" t="n">
        <v>24.307</v>
      </c>
      <c r="E820" t="n">
        <v>8639.200000000001</v>
      </c>
      <c r="F820" s="3" t="n">
        <v>2.813570700990832</v>
      </c>
      <c r="G820" t="n">
        <v>355</v>
      </c>
      <c r="H820" s="3" t="n">
        <v>2.787718043976158</v>
      </c>
      <c r="I820" s="3" t="n">
        <v>2.839603437690967</v>
      </c>
      <c r="J820" t="n">
        <v>45294.1</v>
      </c>
      <c r="K820">
        <f>IF(IFERROR(INDEX(Spots!$K$2:$K$96,MATCH(A820,Spots!$A$2:$A$96,0)),"")="","",IFERROR(INDEX(Spots!$K$2:$K$96,MATCH(A820,Spots!$A$2:$A$96,0)),""))</f>
        <v/>
      </c>
      <c r="L820" s="3">
        <f>IF(OR(K820="",F820=""),"",F820/1000*K820*100)</f>
        <v/>
      </c>
      <c r="M820">
        <f>IF(OR(L820="",L820=0),"",ROUND(100/L820,0))</f>
        <v/>
      </c>
      <c r="N820" t="inlineStr"/>
    </row>
    <row r="821">
      <c r="A821" t="n">
        <v>17</v>
      </c>
      <c r="B821" t="inlineStr">
        <is>
          <t>Orc Camp</t>
        </is>
      </c>
      <c r="C821" t="inlineStr">
        <is>
          <t>Heart of the Arid Forest</t>
        </is>
      </c>
      <c r="D821" t="n">
        <v>5.787081</v>
      </c>
      <c r="E821" t="n">
        <v>8639.200000000001</v>
      </c>
      <c r="F821" s="3" t="n">
        <v>0.6698630660246319</v>
      </c>
      <c r="G821" t="n">
        <v>1493</v>
      </c>
      <c r="H821" s="3" t="n">
        <v>0.6572787876331474</v>
      </c>
      <c r="I821" s="3" t="n">
        <v>0.6826277233490318</v>
      </c>
      <c r="J821" t="n">
        <v>10783.7</v>
      </c>
      <c r="K821">
        <f>IF(IFERROR(INDEX(Spots!$K$2:$K$96,MATCH(A821,Spots!$A$2:$A$96,0)),"")="","",IFERROR(INDEX(Spots!$K$2:$K$96,MATCH(A821,Spots!$A$2:$A$96,0)),""))</f>
        <v/>
      </c>
      <c r="L821" s="3">
        <f>IF(OR(K821="",F821=""),"",F821/1000*K821*100)</f>
        <v/>
      </c>
      <c r="M821">
        <f>IF(OR(L821="",L821=0),"",ROUND(100/L821,0))</f>
        <v/>
      </c>
      <c r="N821" t="inlineStr"/>
    </row>
    <row r="822">
      <c r="A822" t="n">
        <v>17</v>
      </c>
      <c r="B822" t="inlineStr">
        <is>
          <t>Orc Camp</t>
        </is>
      </c>
      <c r="C822" t="inlineStr">
        <is>
          <t>Valtarra's Flame</t>
        </is>
      </c>
      <c r="D822" t="n">
        <v>4.953573</v>
      </c>
      <c r="E822" t="n">
        <v>8639.200000000001</v>
      </c>
      <c r="F822" s="3" t="n">
        <v>0.573383299379572</v>
      </c>
      <c r="G822" t="n">
        <v>1744</v>
      </c>
      <c r="H822" s="3" t="n">
        <v>0.5617449054006772</v>
      </c>
      <c r="I822" s="3" t="n">
        <v>0.5852021194879307</v>
      </c>
      <c r="J822" t="n">
        <v>9230.6</v>
      </c>
      <c r="K822">
        <f>IF(IFERROR(INDEX(Spots!$K$2:$K$96,MATCH(A822,Spots!$A$2:$A$96,0)),"")="","",IFERROR(INDEX(Spots!$K$2:$K$96,MATCH(A822,Spots!$A$2:$A$96,0)),""))</f>
        <v/>
      </c>
      <c r="L822" s="3">
        <f>IF(OR(K822="",F822=""),"",F822/1000*K822*100)</f>
        <v/>
      </c>
      <c r="M822">
        <f>IF(OR(L822="",L822=0),"",ROUND(100/L822,0))</f>
        <v/>
      </c>
      <c r="N822" t="inlineStr"/>
    </row>
    <row r="823">
      <c r="A823" t="n">
        <v>17</v>
      </c>
      <c r="B823" t="inlineStr">
        <is>
          <t>Orc Camp</t>
        </is>
      </c>
      <c r="C823" t="inlineStr">
        <is>
          <t>Sealed Black Magic Crystal</t>
        </is>
      </c>
      <c r="D823" t="n">
        <v>3.818924</v>
      </c>
      <c r="E823" t="n">
        <v>8639.200000000001</v>
      </c>
      <c r="F823" s="3" t="n">
        <v>0.442046022779887</v>
      </c>
      <c r="G823" t="n">
        <v>2262</v>
      </c>
      <c r="H823" s="3" t="n">
        <v>0.431834322116031</v>
      </c>
      <c r="I823" s="3" t="n">
        <v>0.4524382371618164</v>
      </c>
      <c r="J823" t="n">
        <v>7116.2</v>
      </c>
      <c r="K823">
        <f>IF(IFERROR(INDEX(Spots!$K$2:$K$96,MATCH(A823,Spots!$A$2:$A$96,0)),"")="","",IFERROR(INDEX(Spots!$K$2:$K$96,MATCH(A823,Spots!$A$2:$A$96,0)),""))</f>
        <v/>
      </c>
      <c r="L823" s="3">
        <f>IF(OR(K823="",F823=""),"",F823/1000*K823*100)</f>
        <v/>
      </c>
      <c r="M823">
        <f>IF(OR(L823="",L823=0),"",ROUND(100/L823,0))</f>
        <v/>
      </c>
      <c r="N823" t="inlineStr"/>
    </row>
    <row r="824">
      <c r="A824" t="n">
        <v>17</v>
      </c>
      <c r="B824" t="inlineStr">
        <is>
          <t>Orc Camp</t>
        </is>
      </c>
      <c r="C824" t="inlineStr">
        <is>
          <t>Shard of the Furious Night</t>
        </is>
      </c>
      <c r="D824" t="n">
        <v>2.656725</v>
      </c>
      <c r="E824" t="n">
        <v>8639.200000000001</v>
      </c>
      <c r="F824" s="3" t="n">
        <v>0.3075197934993981</v>
      </c>
      <c r="G824" t="n">
        <v>3252</v>
      </c>
      <c r="H824" s="3" t="n">
        <v>0.2990123190880707</v>
      </c>
      <c r="I824" s="3" t="n">
        <v>0.3162079243741073</v>
      </c>
      <c r="J824" t="n">
        <v>4950.6</v>
      </c>
      <c r="K824">
        <f>IF(IFERROR(INDEX(Spots!$K$2:$K$96,MATCH(A824,Spots!$A$2:$A$96,0)),"")="","",IFERROR(INDEX(Spots!$K$2:$K$96,MATCH(A824,Spots!$A$2:$A$96,0)),""))</f>
        <v/>
      </c>
      <c r="L824" s="3">
        <f>IF(OR(K824="",F824=""),"",F824/1000*K824*100)</f>
        <v/>
      </c>
      <c r="M824">
        <f>IF(OR(L824="",L824=0),"",ROUND(100/L824,0))</f>
        <v/>
      </c>
      <c r="N824" t="inlineStr"/>
    </row>
    <row r="825">
      <c r="A825" t="n">
        <v>17</v>
      </c>
      <c r="B825" t="inlineStr">
        <is>
          <t>Orc Camp</t>
        </is>
      </c>
      <c r="C825" t="inlineStr">
        <is>
          <t>Mass of Pure Magic</t>
        </is>
      </c>
      <c r="D825" t="n">
        <v>2.495717</v>
      </c>
      <c r="E825" t="n">
        <v>8639.200000000001</v>
      </c>
      <c r="F825" s="3" t="n">
        <v>0.2888828826743217</v>
      </c>
      <c r="G825" t="n">
        <v>3462</v>
      </c>
      <c r="H825" s="3" t="n">
        <v>0.280639049646234</v>
      </c>
      <c r="I825" s="3" t="n">
        <v>0.2973073994648482</v>
      </c>
      <c r="J825" t="n">
        <v>4650.6</v>
      </c>
      <c r="K825">
        <f>IF(IFERROR(INDEX(Spots!$K$2:$K$96,MATCH(A825,Spots!$A$2:$A$96,0)),"")="","",IFERROR(INDEX(Spots!$K$2:$K$96,MATCH(A825,Spots!$A$2:$A$96,0)),""))</f>
        <v/>
      </c>
      <c r="L825" s="3">
        <f>IF(OR(K825="",F825=""),"",F825/1000*K825*100)</f>
        <v/>
      </c>
      <c r="M825">
        <f>IF(OR(L825="",L825=0),"",ROUND(100/L825,0))</f>
        <v/>
      </c>
      <c r="N825" t="inlineStr"/>
    </row>
    <row r="826">
      <c r="A826" t="n">
        <v>17</v>
      </c>
      <c r="B826" t="inlineStr">
        <is>
          <t>Orc Camp</t>
        </is>
      </c>
      <c r="C826" t="inlineStr">
        <is>
          <t>Seed of Void</t>
        </is>
      </c>
      <c r="D826" t="n">
        <v>2.25793</v>
      </c>
      <c r="E826" t="n">
        <v>8639.200000000001</v>
      </c>
      <c r="F826" s="3" t="n">
        <v>0.2613586906195018</v>
      </c>
      <c r="G826" t="n">
        <v>3826</v>
      </c>
      <c r="H826" s="3" t="n">
        <v>0.2535203015694855</v>
      </c>
      <c r="I826" s="3" t="n">
        <v>0.2693778089585815</v>
      </c>
      <c r="J826" t="n">
        <v>4207.5</v>
      </c>
      <c r="K826">
        <f>IF(IFERROR(INDEX(Spots!$K$2:$K$96,MATCH(A826,Spots!$A$2:$A$96,0)),"")="","",IFERROR(INDEX(Spots!$K$2:$K$96,MATCH(A826,Spots!$A$2:$A$96,0)),""))</f>
        <v/>
      </c>
      <c r="L826" s="3">
        <f>IF(OR(K826="",F826=""),"",F826/1000*K826*100)</f>
        <v/>
      </c>
      <c r="M826">
        <f>IF(OR(L826="",L826=0),"",ROUND(100/L826,0))</f>
        <v/>
      </c>
      <c r="N826" t="inlineStr"/>
    </row>
    <row r="827">
      <c r="A827" t="n">
        <v>17</v>
      </c>
      <c r="B827" t="inlineStr">
        <is>
          <t>Orc Camp</t>
        </is>
      </c>
      <c r="C827" t="inlineStr">
        <is>
          <t>Burning Valtarra's Jordun</t>
        </is>
      </c>
      <c r="D827" t="n">
        <v>0.28941218</v>
      </c>
      <c r="E827" t="n">
        <v>8639.200000000001</v>
      </c>
      <c r="F827" s="3" t="n">
        <v>0.03349988193351237</v>
      </c>
      <c r="G827" t="n">
        <v>29851</v>
      </c>
      <c r="H827" s="3" t="n">
        <v>0.03073173527569571</v>
      </c>
      <c r="I827" s="3" t="n">
        <v>0.03645041885558227</v>
      </c>
      <c r="J827" t="n">
        <v>539.3</v>
      </c>
      <c r="K827">
        <f>IF(IFERROR(INDEX(Spots!$K$2:$K$96,MATCH(A827,Spots!$A$2:$A$96,0)),"")="","",IFERROR(INDEX(Spots!$K$2:$K$96,MATCH(A827,Spots!$A$2:$A$96,0)),""))</f>
        <v/>
      </c>
      <c r="L827" s="3">
        <f>IF(OR(K827="",F827=""),"",F827/1000*K827*100)</f>
        <v/>
      </c>
      <c r="M827">
        <f>IF(OR(L827="",L827=0),"",ROUND(100/L827,0))</f>
        <v/>
      </c>
      <c r="N827" t="inlineStr"/>
    </row>
    <row r="828">
      <c r="A828" t="n">
        <v>10</v>
      </c>
      <c r="B828" t="inlineStr">
        <is>
          <t>Padix Island</t>
        </is>
      </c>
      <c r="C828" t="inlineStr">
        <is>
          <t>Black Stone</t>
        </is>
      </c>
      <c r="D828" t="n">
        <v>27.916</v>
      </c>
      <c r="E828" t="n">
        <v>8794.9</v>
      </c>
      <c r="F828" s="3" t="n">
        <v>3.174112269610797</v>
      </c>
      <c r="G828" t="n">
        <v>315</v>
      </c>
      <c r="H828" s="3" t="n">
        <v>3.145602079893921</v>
      </c>
      <c r="I828" s="3" t="n">
        <v>3.202816561336808</v>
      </c>
      <c r="J828" t="n">
        <v>47405.1</v>
      </c>
      <c r="K828">
        <f>IF(IFERROR(INDEX(Spots!$K$2:$K$96,MATCH(A828,Spots!$A$2:$A$96,0)),"")="","",IFERROR(INDEX(Spots!$K$2:$K$96,MATCH(A828,Spots!$A$2:$A$96,0)),""))</f>
        <v/>
      </c>
      <c r="L828" s="3">
        <f>IF(OR(K828="",F828=""),"",F828/1000*K828*100)</f>
        <v/>
      </c>
      <c r="M828">
        <f>IF(OR(L828="",L828=0),"",ROUND(100/L828,0))</f>
        <v/>
      </c>
      <c r="N828" t="inlineStr"/>
    </row>
    <row r="829">
      <c r="A829" t="n">
        <v>10</v>
      </c>
      <c r="B829" t="inlineStr">
        <is>
          <t>Padix Island</t>
        </is>
      </c>
      <c r="C829" t="inlineStr">
        <is>
          <t>Ancient Spirit Dust</t>
        </is>
      </c>
      <c r="D829" t="n">
        <v>17.803</v>
      </c>
      <c r="E829" t="n">
        <v>8794.9</v>
      </c>
      <c r="F829" s="3" t="n">
        <v>2.024241321675062</v>
      </c>
      <c r="G829" t="n">
        <v>494</v>
      </c>
      <c r="H829" s="3" t="n">
        <v>2.001486367963822</v>
      </c>
      <c r="I829" s="3" t="n">
        <v>2.047190453238408</v>
      </c>
      <c r="J829" t="n">
        <v>30231.9</v>
      </c>
      <c r="K829">
        <f>IF(IFERROR(INDEX(Spots!$K$2:$K$96,MATCH(A829,Spots!$A$2:$A$96,0)),"")="","",IFERROR(INDEX(Spots!$K$2:$K$96,MATCH(A829,Spots!$A$2:$A$96,0)),""))</f>
        <v/>
      </c>
      <c r="L829" s="3">
        <f>IF(OR(K829="",F829=""),"",F829/1000*K829*100)</f>
        <v/>
      </c>
      <c r="M829">
        <f>IF(OR(L829="",L829=0),"",ROUND(100/L829,0))</f>
        <v/>
      </c>
      <c r="N829" t="inlineStr"/>
    </row>
    <row r="830">
      <c r="A830" t="n">
        <v>10</v>
      </c>
      <c r="B830" t="inlineStr">
        <is>
          <t>Padix Island</t>
        </is>
      </c>
      <c r="C830" t="inlineStr">
        <is>
          <t>Caphras Stone</t>
        </is>
      </c>
      <c r="D830" t="n">
        <v>10.213</v>
      </c>
      <c r="E830" t="n">
        <v>8794.9</v>
      </c>
      <c r="F830" s="3" t="n">
        <v>1.161241173862124</v>
      </c>
      <c r="G830" t="n">
        <v>861</v>
      </c>
      <c r="H830" s="3" t="n">
        <v>1.144021802006039</v>
      </c>
      <c r="I830" s="3" t="n">
        <v>1.178654844096179</v>
      </c>
      <c r="J830" t="n">
        <v>17343</v>
      </c>
      <c r="K830">
        <f>IF(IFERROR(INDEX(Spots!$K$2:$K$96,MATCH(A830,Spots!$A$2:$A$96,0)),"")="","",IFERROR(INDEX(Spots!$K$2:$K$96,MATCH(A830,Spots!$A$2:$A$96,0)),""))</f>
        <v/>
      </c>
      <c r="L830" s="3">
        <f>IF(OR(K830="",F830=""),"",F830/1000*K830*100)</f>
        <v/>
      </c>
      <c r="M830">
        <f>IF(OR(L830="",L830=0),"",ROUND(100/L830,0))</f>
        <v/>
      </c>
      <c r="N830" t="inlineStr"/>
    </row>
    <row r="831">
      <c r="A831" t="n">
        <v>10</v>
      </c>
      <c r="B831" t="inlineStr">
        <is>
          <t>Padix Island</t>
        </is>
      </c>
      <c r="C831" t="inlineStr">
        <is>
          <t>Black Spirit's Claw Piece</t>
        </is>
      </c>
      <c r="D831" t="n">
        <v>0.96529661</v>
      </c>
      <c r="E831" t="n">
        <v>8794.9</v>
      </c>
      <c r="F831" s="3" t="n">
        <v>0.1097564054167756</v>
      </c>
      <c r="G831" t="n">
        <v>9111</v>
      </c>
      <c r="H831" s="3" t="n">
        <v>0.1045067169335559</v>
      </c>
      <c r="I831" s="3" t="n">
        <v>0.1152015067831328</v>
      </c>
      <c r="J831" t="n">
        <v>1639.2</v>
      </c>
      <c r="K831">
        <f>IF(IFERROR(INDEX(Spots!$K$2:$K$96,MATCH(A831,Spots!$A$2:$A$96,0)),"")="","",IFERROR(INDEX(Spots!$K$2:$K$96,MATCH(A831,Spots!$A$2:$A$96,0)),""))</f>
        <v/>
      </c>
      <c r="L831" s="3">
        <f>IF(OR(K831="",F831=""),"",F831/1000*K831*100)</f>
        <v/>
      </c>
      <c r="M831">
        <f>IF(OR(L831="",L831=0),"",ROUND(100/L831,0))</f>
        <v/>
      </c>
      <c r="N831" t="inlineStr"/>
    </row>
    <row r="832">
      <c r="A832" t="n">
        <v>10</v>
      </c>
      <c r="B832" t="inlineStr">
        <is>
          <t>Padix Island</t>
        </is>
      </c>
      <c r="C832" t="inlineStr">
        <is>
          <t>Blue Coral Earring</t>
        </is>
      </c>
      <c r="D832" t="n">
        <v>0.95270671</v>
      </c>
      <c r="E832" t="n">
        <v>8794.9</v>
      </c>
      <c r="F832" s="3" t="n">
        <v>0.1083249053428692</v>
      </c>
      <c r="G832" t="n">
        <v>9231</v>
      </c>
      <c r="H832" s="3" t="n">
        <v>0.1031099820666404</v>
      </c>
      <c r="I832" s="3" t="n">
        <v>0.1137352520589762</v>
      </c>
      <c r="J832" t="n">
        <v>1617.8</v>
      </c>
      <c r="K832">
        <f>IF(IFERROR(INDEX(Spots!$K$2:$K$96,MATCH(A832,Spots!$A$2:$A$96,0)),"")="","",IFERROR(INDEX(Spots!$K$2:$K$96,MATCH(A832,Spots!$A$2:$A$96,0)),""))</f>
        <v/>
      </c>
      <c r="L832" s="3">
        <f>IF(OR(K832="",F832=""),"",F832/1000*K832*100)</f>
        <v/>
      </c>
      <c r="M832">
        <f>IF(OR(L832="",L832=0),"",ROUND(100/L832,0))</f>
        <v/>
      </c>
      <c r="N832" t="inlineStr"/>
    </row>
    <row r="833">
      <c r="A833" t="n">
        <v>10</v>
      </c>
      <c r="B833" t="inlineStr">
        <is>
          <t>Padix Island</t>
        </is>
      </c>
      <c r="C833" t="inlineStr">
        <is>
          <t>Imperfect Lightstone of Earth</t>
        </is>
      </c>
      <c r="D833" t="n">
        <v>0.46887873</v>
      </c>
      <c r="E833" t="n">
        <v>8794.9</v>
      </c>
      <c r="F833" s="3" t="n">
        <v>0.05331257092178422</v>
      </c>
      <c r="G833" t="n">
        <v>18757</v>
      </c>
      <c r="H833" s="3" t="n">
        <v>0.04967322071616515</v>
      </c>
      <c r="I833" s="3" t="n">
        <v>0.05714802932192198</v>
      </c>
      <c r="J833" t="n">
        <v>796.2</v>
      </c>
      <c r="K833">
        <f>IF(IFERROR(INDEX(Spots!$K$2:$K$96,MATCH(A833,Spots!$A$2:$A$96,0)),"")="","",IFERROR(INDEX(Spots!$K$2:$K$96,MATCH(A833,Spots!$A$2:$A$96,0)),""))</f>
        <v/>
      </c>
      <c r="L833" s="3">
        <f>IF(OR(K833="",F833=""),"",F833/1000*K833*100)</f>
        <v/>
      </c>
      <c r="M833">
        <f>IF(OR(L833="",L833=0),"",ROUND(100/L833,0))</f>
        <v/>
      </c>
      <c r="N833" t="inlineStr"/>
    </row>
    <row r="834">
      <c r="A834" t="n">
        <v>10</v>
      </c>
      <c r="B834" t="inlineStr">
        <is>
          <t>Padix Island</t>
        </is>
      </c>
      <c r="C834" t="inlineStr">
        <is>
          <t>Ethereal Earring</t>
        </is>
      </c>
      <c r="D834" t="n">
        <v>0.35364896</v>
      </c>
      <c r="E834" t="n">
        <v>8794.9</v>
      </c>
      <c r="F834" s="3" t="n">
        <v>0.04021068573832563</v>
      </c>
      <c r="G834" t="n">
        <v>24869</v>
      </c>
      <c r="H834" s="3" t="n">
        <v>0.03705845407009501</v>
      </c>
      <c r="I834" s="3" t="n">
        <v>0.04355937176366544</v>
      </c>
      <c r="J834" t="n">
        <v>600.5</v>
      </c>
      <c r="K834">
        <f>IF(IFERROR(INDEX(Spots!$K$2:$K$96,MATCH(A834,Spots!$A$2:$A$96,0)),"")="","",IFERROR(INDEX(Spots!$K$2:$K$96,MATCH(A834,Spots!$A$2:$A$96,0)),""))</f>
        <v/>
      </c>
      <c r="L834" s="3">
        <f>IF(OR(K834="",F834=""),"",F834/1000*K834*100)</f>
        <v/>
      </c>
      <c r="M834">
        <f>IF(OR(L834="",L834=0),"",ROUND(100/L834,0))</f>
        <v/>
      </c>
      <c r="N834" t="inlineStr"/>
    </row>
    <row r="835">
      <c r="A835" t="n">
        <v>10</v>
      </c>
      <c r="B835" t="inlineStr">
        <is>
          <t>Padix Island</t>
        </is>
      </c>
      <c r="C835" t="inlineStr">
        <is>
          <t>Ocean Haze Ring</t>
        </is>
      </c>
      <c r="D835" t="n">
        <v>0.33506991</v>
      </c>
      <c r="E835" t="n">
        <v>8794.9</v>
      </c>
      <c r="F835" s="3" t="n">
        <v>0.03809820577834882</v>
      </c>
      <c r="G835" t="n">
        <v>26248</v>
      </c>
      <c r="H835" s="3" t="n">
        <v>0.03503160340021111</v>
      </c>
      <c r="I835" s="3" t="n">
        <v>0.04136133438421791</v>
      </c>
      <c r="J835" t="n">
        <v>569</v>
      </c>
      <c r="K835">
        <f>IF(IFERROR(INDEX(Spots!$K$2:$K$96,MATCH(A835,Spots!$A$2:$A$96,0)),"")="","",IFERROR(INDEX(Spots!$K$2:$K$96,MATCH(A835,Spots!$A$2:$A$96,0)),""))</f>
        <v/>
      </c>
      <c r="L835" s="3">
        <f>IF(OR(K835="",F835=""),"",F835/1000*K835*100)</f>
        <v/>
      </c>
      <c r="M835">
        <f>IF(OR(L835="",L835=0),"",ROUND(100/L835,0))</f>
        <v/>
      </c>
      <c r="N835" t="inlineStr"/>
    </row>
    <row r="836">
      <c r="A836" t="n">
        <v>10</v>
      </c>
      <c r="B836" t="inlineStr">
        <is>
          <t>Padix Island</t>
        </is>
      </c>
      <c r="C836" t="inlineStr">
        <is>
          <t>Red Coral Earring</t>
        </is>
      </c>
      <c r="D836" t="n">
        <v>0.20121247</v>
      </c>
      <c r="E836" t="n">
        <v>8794.9</v>
      </c>
      <c r="F836" s="3" t="n">
        <v>0.02287831243106801</v>
      </c>
      <c r="G836" t="n">
        <v>43710</v>
      </c>
      <c r="H836" s="3" t="n">
        <v>0.02051641546790183</v>
      </c>
      <c r="I836" s="3" t="n">
        <v>0.02543751721951614</v>
      </c>
      <c r="J836" t="n">
        <v>341.7</v>
      </c>
      <c r="K836">
        <f>IF(IFERROR(INDEX(Spots!$K$2:$K$96,MATCH(A836,Spots!$A$2:$A$96,0)),"")="","",IFERROR(INDEX(Spots!$K$2:$K$96,MATCH(A836,Spots!$A$2:$A$96,0)),""))</f>
        <v/>
      </c>
      <c r="L836" s="3">
        <f>IF(OR(K836="",F836=""),"",F836/1000*K836*100)</f>
        <v/>
      </c>
      <c r="M836">
        <f>IF(OR(L836="",L836=0),"",ROUND(100/L836,0))</f>
        <v/>
      </c>
      <c r="N836" t="inlineStr"/>
    </row>
    <row r="837">
      <c r="A837" t="n">
        <v>10</v>
      </c>
      <c r="B837" t="inlineStr">
        <is>
          <t>Padix Island</t>
        </is>
      </c>
      <c r="C837" t="inlineStr">
        <is>
          <t>Any Artifact</t>
        </is>
      </c>
      <c r="D837" t="n">
        <v>0.17821488</v>
      </c>
      <c r="E837" t="n">
        <v>8794.9</v>
      </c>
      <c r="F837" s="3" t="n">
        <v>0.02026343449044333</v>
      </c>
      <c r="G837" t="n">
        <v>49350</v>
      </c>
      <c r="H837" s="3" t="n">
        <v>0.01804440774295027</v>
      </c>
      <c r="I837" s="3" t="n">
        <v>0.0226799855000494</v>
      </c>
      <c r="J837" t="n">
        <v>302.6</v>
      </c>
      <c r="K837">
        <f>IF(IFERROR(INDEX(Spots!$K$2:$K$96,MATCH(A837,Spots!$A$2:$A$96,0)),"")="","",IFERROR(INDEX(Spots!$K$2:$K$96,MATCH(A837,Spots!$A$2:$A$96,0)),""))</f>
        <v/>
      </c>
      <c r="L837" s="3">
        <f>IF(OR(K837="",F837=""),"",F837/1000*K837*100)</f>
        <v/>
      </c>
      <c r="M837">
        <f>IF(OR(L837="",L837=0),"",ROUND(100/L837,0))</f>
        <v/>
      </c>
      <c r="N837" t="inlineStr"/>
    </row>
    <row r="838">
      <c r="A838" t="n">
        <v>10</v>
      </c>
      <c r="B838" t="inlineStr">
        <is>
          <t>Padix Island</t>
        </is>
      </c>
      <c r="C838" t="inlineStr">
        <is>
          <t>Imperfect Lightstone of Fire</t>
        </is>
      </c>
      <c r="D838" t="n">
        <v>0.1026365</v>
      </c>
      <c r="E838" t="n">
        <v>8794.9</v>
      </c>
      <c r="F838" s="3" t="n">
        <v>0.01167000193293841</v>
      </c>
      <c r="G838" t="n">
        <v>85690</v>
      </c>
      <c r="H838" s="3" t="n">
        <v>0.01000160972194874</v>
      </c>
      <c r="I838" s="3" t="n">
        <v>0.01353707993532873</v>
      </c>
      <c r="J838" t="n">
        <v>174.3</v>
      </c>
      <c r="K838">
        <f>IF(IFERROR(INDEX(Spots!$K$2:$K$96,MATCH(A838,Spots!$A$2:$A$96,0)),"")="","",IFERROR(INDEX(Spots!$K$2:$K$96,MATCH(A838,Spots!$A$2:$A$96,0)),""))</f>
        <v/>
      </c>
      <c r="L838" s="3">
        <f>IF(OR(K838="",F838=""),"",F838/1000*K838*100)</f>
        <v/>
      </c>
      <c r="M838">
        <f>IF(OR(L838="",L838=0),"",ROUND(100/L838,0))</f>
        <v/>
      </c>
      <c r="N838" t="inlineStr"/>
    </row>
    <row r="839">
      <c r="A839" t="n">
        <v>10</v>
      </c>
      <c r="B839" t="inlineStr">
        <is>
          <t>Padix Island</t>
        </is>
      </c>
      <c r="C839" t="inlineStr">
        <is>
          <t>Padix Island Paint</t>
        </is>
      </c>
      <c r="D839" t="n">
        <v>0.09671779</v>
      </c>
      <c r="E839" t="n">
        <v>8794.9</v>
      </c>
      <c r="F839" s="3" t="n">
        <v>0.01099703123401062</v>
      </c>
      <c r="G839" t="n">
        <v>90934</v>
      </c>
      <c r="H839" s="3" t="n">
        <v>0.009379357921192296</v>
      </c>
      <c r="I839" s="3" t="n">
        <v>0.01281353479050616</v>
      </c>
      <c r="J839" t="n">
        <v>164.2</v>
      </c>
      <c r="K839">
        <f>IF(IFERROR(INDEX(Spots!$K$2:$K$96,MATCH(A839,Spots!$A$2:$A$96,0)),"")="","",IFERROR(INDEX(Spots!$K$2:$K$96,MATCH(A839,Spots!$A$2:$A$96,0)),""))</f>
        <v/>
      </c>
      <c r="L839" s="3">
        <f>IF(OR(K839="",F839=""),"",F839/1000*K839*100)</f>
        <v/>
      </c>
      <c r="M839">
        <f>IF(OR(L839="",L839=0),"",ROUND(100/L839,0))</f>
        <v/>
      </c>
      <c r="N839" t="inlineStr"/>
    </row>
    <row r="840">
      <c r="A840" t="n">
        <v>10</v>
      </c>
      <c r="B840" t="inlineStr">
        <is>
          <t>Padix Island</t>
        </is>
      </c>
      <c r="C840" t="inlineStr">
        <is>
          <t>Imperfect Lightstone of Wind</t>
        </is>
      </c>
      <c r="D840" t="n">
        <v>0.07376269000000001</v>
      </c>
      <c r="E840" t="n">
        <v>8794.9</v>
      </c>
      <c r="F840" s="3" t="n">
        <v>0.008386984502382063</v>
      </c>
      <c r="G840" t="n">
        <v>119232</v>
      </c>
      <c r="H840" s="3" t="n">
        <v>0.006982503302103168</v>
      </c>
      <c r="I840" s="3" t="n">
        <v>0.009991009589703273</v>
      </c>
      <c r="J840" t="n">
        <v>125.3</v>
      </c>
      <c r="K840">
        <f>IF(IFERROR(INDEX(Spots!$K$2:$K$96,MATCH(A840,Spots!$A$2:$A$96,0)),"")="","",IFERROR(INDEX(Spots!$K$2:$K$96,MATCH(A840,Spots!$A$2:$A$96,0)),""))</f>
        <v/>
      </c>
      <c r="L840" s="3">
        <f>IF(OR(K840="",F840=""),"",F840/1000*K840*100)</f>
        <v/>
      </c>
      <c r="M840">
        <f>IF(OR(L840="",L840=0),"",ROUND(100/L840,0))</f>
        <v/>
      </c>
      <c r="N840" t="inlineStr"/>
    </row>
    <row r="841">
      <c r="A841" t="n">
        <v>10</v>
      </c>
      <c r="B841" t="inlineStr">
        <is>
          <t>Padix Island</t>
        </is>
      </c>
      <c r="C841" t="inlineStr">
        <is>
          <t>Al Yurad's Ring Piece</t>
        </is>
      </c>
      <c r="D841" t="n">
        <v>0.00204556</v>
      </c>
      <c r="E841" t="n">
        <v>8794.9</v>
      </c>
      <c r="F841" s="3" t="n">
        <v>0.0002325847934598461</v>
      </c>
      <c r="G841" t="n">
        <v>4299507</v>
      </c>
      <c r="H841" s="3" t="n">
        <v>5.475532126057554e-05</v>
      </c>
      <c r="I841" s="3" t="n">
        <v>0.0006341722571934212</v>
      </c>
      <c r="J841" t="n">
        <v>3.5</v>
      </c>
      <c r="K841">
        <f>IF(IFERROR(INDEX(Spots!$K$2:$K$96,MATCH(A841,Spots!$A$2:$A$96,0)),"")="","",IFERROR(INDEX(Spots!$K$2:$K$96,MATCH(A841,Spots!$A$2:$A$96,0)),""))</f>
        <v/>
      </c>
      <c r="L841" s="3">
        <f>IF(OR(K841="",F841=""),"",F841/1000*K841*100)</f>
        <v/>
      </c>
      <c r="M841">
        <f>IF(OR(L841="",L841=0),"",ROUND(100/L841,0))</f>
        <v/>
      </c>
      <c r="N841" t="inlineStr">
        <is>
          <t>low sample</t>
        </is>
      </c>
    </row>
    <row r="842">
      <c r="A842" t="n">
        <v>92</v>
      </c>
      <c r="B842" t="inlineStr">
        <is>
          <t>Pila Ku Jail</t>
        </is>
      </c>
      <c r="C842" t="inlineStr">
        <is>
          <t>Black Stone</t>
        </is>
      </c>
      <c r="D842" t="n">
        <v>19.556</v>
      </c>
      <c r="E842" t="n">
        <v>3275</v>
      </c>
      <c r="F842" s="3" t="n">
        <v>5.971297709923665</v>
      </c>
      <c r="G842" t="n">
        <v>167</v>
      </c>
      <c r="H842" s="3" t="n">
        <v>5.672472483389973</v>
      </c>
      <c r="I842" s="3" t="n">
        <v>6.28177880602581</v>
      </c>
      <c r="J842" t="n">
        <v>1495.7</v>
      </c>
      <c r="K842">
        <f>IF(IFERROR(INDEX(Spots!$K$2:$K$96,MATCH(A842,Spots!$A$2:$A$96,0)),"")="","",IFERROR(INDEX(Spots!$K$2:$K$96,MATCH(A842,Spots!$A$2:$A$96,0)),""))</f>
        <v/>
      </c>
      <c r="L842" s="3">
        <f>IF(OR(K842="",F842=""),"",F842/1000*K842*100)</f>
        <v/>
      </c>
      <c r="M842">
        <f>IF(OR(L842="",L842=0),"",ROUND(100/L842,0))</f>
        <v/>
      </c>
      <c r="N842" t="inlineStr"/>
    </row>
    <row r="843">
      <c r="A843" t="n">
        <v>92</v>
      </c>
      <c r="B843" t="inlineStr">
        <is>
          <t>Pila Ku Jail</t>
        </is>
      </c>
      <c r="C843" t="inlineStr">
        <is>
          <t>Trace of Nature</t>
        </is>
      </c>
      <c r="D843" t="n">
        <v>10.751</v>
      </c>
      <c r="E843" t="n">
        <v>3275</v>
      </c>
      <c r="F843" s="3" t="n">
        <v>3.282748091603053</v>
      </c>
      <c r="G843" t="n">
        <v>305</v>
      </c>
      <c r="H843" s="3" t="n">
        <v>3.062170033277951</v>
      </c>
      <c r="I843" s="3" t="n">
        <v>3.515016818912729</v>
      </c>
      <c r="J843" t="n">
        <v>822.3</v>
      </c>
      <c r="K843">
        <f>IF(IFERROR(INDEX(Spots!$K$2:$K$96,MATCH(A843,Spots!$A$2:$A$96,0)),"")="","",IFERROR(INDEX(Spots!$K$2:$K$96,MATCH(A843,Spots!$A$2:$A$96,0)),""))</f>
        <v/>
      </c>
      <c r="L843" s="3">
        <f>IF(OR(K843="",F843=""),"",F843/1000*K843*100)</f>
        <v/>
      </c>
      <c r="M843">
        <f>IF(OR(L843="",L843=0),"",ROUND(100/L843,0))</f>
        <v/>
      </c>
      <c r="N843" t="inlineStr"/>
    </row>
    <row r="844">
      <c r="A844" t="n">
        <v>92</v>
      </c>
      <c r="B844" t="inlineStr">
        <is>
          <t>Pila Ku Jail</t>
        </is>
      </c>
      <c r="C844" t="inlineStr">
        <is>
          <t>Scroll Written in Ancient Language</t>
        </is>
      </c>
      <c r="D844" t="n">
        <v>9.302282999999999</v>
      </c>
      <c r="E844" t="n">
        <v>3275</v>
      </c>
      <c r="F844" s="3" t="n">
        <v>2.840391755725191</v>
      </c>
      <c r="G844" t="n">
        <v>352</v>
      </c>
      <c r="H844" s="3" t="n">
        <v>2.635479917359674</v>
      </c>
      <c r="I844" s="3" t="n">
        <v>3.057004337400231</v>
      </c>
      <c r="J844" t="n">
        <v>711.5</v>
      </c>
      <c r="K844">
        <f>IF(IFERROR(INDEX(Spots!$K$2:$K$96,MATCH(A844,Spots!$A$2:$A$96,0)),"")="","",IFERROR(INDEX(Spots!$K$2:$K$96,MATCH(A844,Spots!$A$2:$A$96,0)),""))</f>
        <v/>
      </c>
      <c r="L844" s="3">
        <f>IF(OR(K844="",F844=""),"",F844/1000*K844*100)</f>
        <v/>
      </c>
      <c r="M844">
        <f>IF(OR(L844="",L844=0),"",ROUND(100/L844,0))</f>
        <v/>
      </c>
      <c r="N844" t="inlineStr"/>
    </row>
    <row r="845">
      <c r="A845" t="n">
        <v>92</v>
      </c>
      <c r="B845" t="inlineStr">
        <is>
          <t>Pila Ku Jail</t>
        </is>
      </c>
      <c r="C845" t="inlineStr">
        <is>
          <t>Caphras Stone</t>
        </is>
      </c>
      <c r="D845" t="n">
        <v>7.517688</v>
      </c>
      <c r="E845" t="n">
        <v>3275</v>
      </c>
      <c r="F845" s="3" t="n">
        <v>2.295477251908397</v>
      </c>
      <c r="G845" t="n">
        <v>436</v>
      </c>
      <c r="H845" s="3" t="n">
        <v>2.111653563368148</v>
      </c>
      <c r="I845" s="3" t="n">
        <v>2.49101787426282</v>
      </c>
      <c r="J845" t="n">
        <v>575</v>
      </c>
      <c r="K845">
        <f>IF(IFERROR(INDEX(Spots!$K$2:$K$96,MATCH(A845,Spots!$A$2:$A$96,0)),"")="","",IFERROR(INDEX(Spots!$K$2:$K$96,MATCH(A845,Spots!$A$2:$A$96,0)),""))</f>
        <v/>
      </c>
      <c r="L845" s="3">
        <f>IF(OR(K845="",F845=""),"",F845/1000*K845*100)</f>
        <v/>
      </c>
      <c r="M845">
        <f>IF(OR(L845="",L845=0),"",ROUND(100/L845,0))</f>
        <v/>
      </c>
      <c r="N845" t="inlineStr"/>
    </row>
    <row r="846">
      <c r="A846" t="n">
        <v>92</v>
      </c>
      <c r="B846" t="inlineStr">
        <is>
          <t>Pila Ku Jail</t>
        </is>
      </c>
      <c r="C846" t="inlineStr">
        <is>
          <t>Ancient Spirit Dust</t>
        </is>
      </c>
      <c r="D846" t="n">
        <v>6.33923</v>
      </c>
      <c r="E846" t="n">
        <v>3275</v>
      </c>
      <c r="F846" s="3" t="n">
        <v>1.935642748091603</v>
      </c>
      <c r="G846" t="n">
        <v>517</v>
      </c>
      <c r="H846" s="3" t="n">
        <v>1.767154021394562</v>
      </c>
      <c r="I846" s="3" t="n">
        <v>2.115862643256061</v>
      </c>
      <c r="J846" t="n">
        <v>484.8</v>
      </c>
      <c r="K846">
        <f>IF(IFERROR(INDEX(Spots!$K$2:$K$96,MATCH(A846,Spots!$A$2:$A$96,0)),"")="","",IFERROR(INDEX(Spots!$K$2:$K$96,MATCH(A846,Spots!$A$2:$A$96,0)),""))</f>
        <v/>
      </c>
      <c r="L846" s="3">
        <f>IF(OR(K846="",F846=""),"",F846/1000*K846*100)</f>
        <v/>
      </c>
      <c r="M846">
        <f>IF(OR(L846="",L846=0),"",ROUND(100/L846,0))</f>
        <v/>
      </c>
      <c r="N846" t="inlineStr"/>
    </row>
    <row r="847">
      <c r="A847" t="n">
        <v>92</v>
      </c>
      <c r="B847" t="inlineStr">
        <is>
          <t>Pila Ku Jail</t>
        </is>
      </c>
      <c r="C847" t="inlineStr">
        <is>
          <t>Sealed Black Magic Crystal</t>
        </is>
      </c>
      <c r="D847" t="n">
        <v>2.525803</v>
      </c>
      <c r="E847" t="n">
        <v>3275</v>
      </c>
      <c r="F847" s="3" t="n">
        <v>0.7712375572519083</v>
      </c>
      <c r="G847" t="n">
        <v>1297</v>
      </c>
      <c r="H847" s="3" t="n">
        <v>0.6663038747897074</v>
      </c>
      <c r="I847" s="3" t="n">
        <v>0.8880034233340475</v>
      </c>
      <c r="J847" t="n">
        <v>193.2</v>
      </c>
      <c r="K847">
        <f>IF(IFERROR(INDEX(Spots!$K$2:$K$96,MATCH(A847,Spots!$A$2:$A$96,0)),"")="","",IFERROR(INDEX(Spots!$K$2:$K$96,MATCH(A847,Spots!$A$2:$A$96,0)),""))</f>
        <v/>
      </c>
      <c r="L847" s="3">
        <f>IF(OR(K847="",F847=""),"",F847/1000*K847*100)</f>
        <v/>
      </c>
      <c r="M847">
        <f>IF(OR(L847="",L847=0),"",ROUND(100/L847,0))</f>
        <v/>
      </c>
      <c r="N847" t="inlineStr"/>
    </row>
    <row r="848">
      <c r="A848" t="n">
        <v>92</v>
      </c>
      <c r="B848" t="inlineStr">
        <is>
          <t>Pila Ku Jail</t>
        </is>
      </c>
      <c r="C848" t="inlineStr">
        <is>
          <t>Mass of Pure Magic</t>
        </is>
      </c>
      <c r="D848" t="n">
        <v>1.239232</v>
      </c>
      <c r="E848" t="n">
        <v>3275</v>
      </c>
      <c r="F848" s="3" t="n">
        <v>0.3783914503816794</v>
      </c>
      <c r="G848" t="n">
        <v>2643</v>
      </c>
      <c r="H848" s="3" t="n">
        <v>0.3060532374338723</v>
      </c>
      <c r="I848" s="3" t="n">
        <v>0.4626772740490043</v>
      </c>
      <c r="J848" t="n">
        <v>94.8</v>
      </c>
      <c r="K848">
        <f>IF(IFERROR(INDEX(Spots!$K$2:$K$96,MATCH(A848,Spots!$A$2:$A$96,0)),"")="","",IFERROR(INDEX(Spots!$K$2:$K$96,MATCH(A848,Spots!$A$2:$A$96,0)),""))</f>
        <v/>
      </c>
      <c r="L848" s="3">
        <f>IF(OR(K848="",F848=""),"",F848/1000*K848*100)</f>
        <v/>
      </c>
      <c r="M848">
        <f>IF(OR(L848="",L848=0),"",ROUND(100/L848,0))</f>
        <v/>
      </c>
      <c r="N848" t="inlineStr"/>
    </row>
    <row r="849">
      <c r="A849" t="n">
        <v>92</v>
      </c>
      <c r="B849" t="inlineStr">
        <is>
          <t>Pila Ku Jail</t>
        </is>
      </c>
      <c r="C849" t="inlineStr">
        <is>
          <t>Yona's Fragment</t>
        </is>
      </c>
      <c r="D849" t="n">
        <v>1.130899</v>
      </c>
      <c r="E849" t="n">
        <v>3275</v>
      </c>
      <c r="F849" s="3" t="n">
        <v>0.3453126717557252</v>
      </c>
      <c r="G849" t="n">
        <v>2896</v>
      </c>
      <c r="H849" s="3" t="n">
        <v>0.2763829458970238</v>
      </c>
      <c r="I849" s="3" t="n">
        <v>0.4262078705837198</v>
      </c>
      <c r="J849" t="n">
        <v>86.5</v>
      </c>
      <c r="K849">
        <f>IF(IFERROR(INDEX(Spots!$K$2:$K$96,MATCH(A849,Spots!$A$2:$A$96,0)),"")="","",IFERROR(INDEX(Spots!$K$2:$K$96,MATCH(A849,Spots!$A$2:$A$96,0)),""))</f>
        <v/>
      </c>
      <c r="L849" s="3">
        <f>IF(OR(K849="",F849=""),"",F849/1000*K849*100)</f>
        <v/>
      </c>
      <c r="M849">
        <f>IF(OR(L849="",L849=0),"",ROUND(100/L849,0))</f>
        <v/>
      </c>
      <c r="N849" t="inlineStr"/>
    </row>
    <row r="850">
      <c r="A850" t="n">
        <v>92</v>
      </c>
      <c r="B850" t="inlineStr">
        <is>
          <t>Pila Ku Jail</t>
        </is>
      </c>
      <c r="C850" t="inlineStr">
        <is>
          <t>Sicil's Shattered Necklace</t>
        </is>
      </c>
      <c r="D850" t="n">
        <v>0.9349363000000001</v>
      </c>
      <c r="E850" t="n">
        <v>3275</v>
      </c>
      <c r="F850" s="3" t="n">
        <v>0.2854767328244275</v>
      </c>
      <c r="G850" t="n">
        <v>3503</v>
      </c>
      <c r="H850" s="3" t="n">
        <v>0.2231574989862695</v>
      </c>
      <c r="I850" s="3" t="n">
        <v>0.3598011474741392</v>
      </c>
      <c r="J850" t="n">
        <v>71.5</v>
      </c>
      <c r="K850">
        <f>IF(IFERROR(INDEX(Spots!$K$2:$K$96,MATCH(A850,Spots!$A$2:$A$96,0)),"")="","",IFERROR(INDEX(Spots!$K$2:$K$96,MATCH(A850,Spots!$A$2:$A$96,0)),""))</f>
        <v/>
      </c>
      <c r="L850" s="3">
        <f>IF(OR(K850="",F850=""),"",F850/1000*K850*100)</f>
        <v/>
      </c>
      <c r="M850">
        <f>IF(OR(L850="",L850=0),"",ROUND(100/L850,0))</f>
        <v/>
      </c>
      <c r="N850" t="inlineStr"/>
    </row>
    <row r="851">
      <c r="A851" t="n">
        <v>92</v>
      </c>
      <c r="B851" t="inlineStr">
        <is>
          <t>Pila Ku Jail</t>
        </is>
      </c>
      <c r="C851" t="inlineStr">
        <is>
          <t>Part for Explorer's Compass</t>
        </is>
      </c>
      <c r="D851" t="n">
        <v>0.50189052</v>
      </c>
      <c r="E851" t="n">
        <v>3275</v>
      </c>
      <c r="F851" s="3" t="n">
        <v>0.153249013740458</v>
      </c>
      <c r="G851" t="n">
        <v>6525</v>
      </c>
      <c r="H851" s="3" t="n">
        <v>0.1086397529391937</v>
      </c>
      <c r="I851" s="3" t="n">
        <v>0.2100206280425798</v>
      </c>
      <c r="J851" t="n">
        <v>38.4</v>
      </c>
      <c r="K851">
        <f>IF(IFERROR(INDEX(Spots!$K$2:$K$96,MATCH(A851,Spots!$A$2:$A$96,0)),"")="","",IFERROR(INDEX(Spots!$K$2:$K$96,MATCH(A851,Spots!$A$2:$A$96,0)),""))</f>
        <v/>
      </c>
      <c r="L851" s="3">
        <f>IF(OR(K851="",F851=""),"",F851/1000*K851*100)</f>
        <v/>
      </c>
      <c r="M851">
        <f>IF(OR(L851="",L851=0),"",ROUND(100/L851,0))</f>
        <v/>
      </c>
      <c r="N851" t="inlineStr"/>
    </row>
    <row r="852">
      <c r="A852" t="n">
        <v>92</v>
      </c>
      <c r="B852" t="inlineStr">
        <is>
          <t>Pila Ku Jail</t>
        </is>
      </c>
      <c r="C852" t="inlineStr">
        <is>
          <t>Imperfect Lightstone of Fire</t>
        </is>
      </c>
      <c r="D852" t="n">
        <v>0.44870344</v>
      </c>
      <c r="E852" t="n">
        <v>3275</v>
      </c>
      <c r="F852" s="3" t="n">
        <v>0.1370086839694657</v>
      </c>
      <c r="G852" t="n">
        <v>7299</v>
      </c>
      <c r="H852" s="3" t="n">
        <v>0.09504460361292083</v>
      </c>
      <c r="I852" s="3" t="n">
        <v>0.1911684604037883</v>
      </c>
      <c r="J852" t="n">
        <v>34.3</v>
      </c>
      <c r="K852">
        <f>IF(IFERROR(INDEX(Spots!$K$2:$K$96,MATCH(A852,Spots!$A$2:$A$96,0)),"")="","",IFERROR(INDEX(Spots!$K$2:$K$96,MATCH(A852,Spots!$A$2:$A$96,0)),""))</f>
        <v/>
      </c>
      <c r="L852" s="3">
        <f>IF(OR(K852="",F852=""),"",F852/1000*K852*100)</f>
        <v/>
      </c>
      <c r="M852">
        <f>IF(OR(L852="",L852=0),"",ROUND(100/L852,0))</f>
        <v/>
      </c>
      <c r="N852" t="inlineStr"/>
    </row>
    <row r="853">
      <c r="A853" t="n">
        <v>92</v>
      </c>
      <c r="B853" t="inlineStr">
        <is>
          <t>Pila Ku Jail</t>
        </is>
      </c>
      <c r="C853" t="inlineStr">
        <is>
          <t>Traveler's Map</t>
        </is>
      </c>
      <c r="D853" t="n">
        <v>0.42770478</v>
      </c>
      <c r="E853" t="n">
        <v>3275</v>
      </c>
      <c r="F853" s="3" t="n">
        <v>0.130596879389313</v>
      </c>
      <c r="G853" t="n">
        <v>7657</v>
      </c>
      <c r="H853" s="3" t="n">
        <v>0.08972021663187495</v>
      </c>
      <c r="I853" s="3" t="n">
        <v>0.1836840230876937</v>
      </c>
      <c r="J853" t="n">
        <v>32.7</v>
      </c>
      <c r="K853">
        <f>IF(IFERROR(INDEX(Spots!$K$2:$K$96,MATCH(A853,Spots!$A$2:$A$96,0)),"")="","",IFERROR(INDEX(Spots!$K$2:$K$96,MATCH(A853,Spots!$A$2:$A$96,0)),""))</f>
        <v/>
      </c>
      <c r="L853" s="3">
        <f>IF(OR(K853="",F853=""),"",F853/1000*K853*100)</f>
        <v/>
      </c>
      <c r="M853">
        <f>IF(OR(L853="",L853=0),"",ROUND(100/L853,0))</f>
        <v/>
      </c>
      <c r="N853" t="inlineStr"/>
    </row>
    <row r="854">
      <c r="A854" t="n">
        <v>92</v>
      </c>
      <c r="B854" t="inlineStr">
        <is>
          <t>Pila Ku Jail</t>
        </is>
      </c>
      <c r="C854" t="inlineStr">
        <is>
          <t>Black Spirit's Claw Piece</t>
        </is>
      </c>
      <c r="D854" t="n">
        <v>0.33374716</v>
      </c>
      <c r="E854" t="n">
        <v>3275</v>
      </c>
      <c r="F854" s="3" t="n">
        <v>0.1019075297709924</v>
      </c>
      <c r="G854" t="n">
        <v>9813</v>
      </c>
      <c r="H854" s="3" t="n">
        <v>0.06626167203670881</v>
      </c>
      <c r="I854" s="3" t="n">
        <v>0.1498456082942081</v>
      </c>
      <c r="J854" t="n">
        <v>25.5</v>
      </c>
      <c r="K854">
        <f>IF(IFERROR(INDEX(Spots!$K$2:$K$96,MATCH(A854,Spots!$A$2:$A$96,0)),"")="","",IFERROR(INDEX(Spots!$K$2:$K$96,MATCH(A854,Spots!$A$2:$A$96,0)),""))</f>
        <v/>
      </c>
      <c r="L854" s="3">
        <f>IF(OR(K854="",F854=""),"",F854/1000*K854*100)</f>
        <v/>
      </c>
      <c r="M854">
        <f>IF(OR(L854="",L854=0),"",ROUND(100/L854,0))</f>
        <v/>
      </c>
      <c r="N854" t="inlineStr">
        <is>
          <t>low sample</t>
        </is>
      </c>
    </row>
    <row r="855">
      <c r="A855" t="n">
        <v>92</v>
      </c>
      <c r="B855" t="inlineStr">
        <is>
          <t>Pila Ku Jail</t>
        </is>
      </c>
      <c r="C855" t="inlineStr">
        <is>
          <t>Sicil's Necklace</t>
        </is>
      </c>
      <c r="D855" t="n">
        <v>0.29485096</v>
      </c>
      <c r="E855" t="n">
        <v>3275</v>
      </c>
      <c r="F855" s="3" t="n">
        <v>0.09003082748091602</v>
      </c>
      <c r="G855" t="n">
        <v>11107</v>
      </c>
      <c r="H855" s="3" t="n">
        <v>0.05676561955033842</v>
      </c>
      <c r="I855" s="3" t="n">
        <v>0.1356325339738045</v>
      </c>
      <c r="J855" t="n">
        <v>22.6</v>
      </c>
      <c r="K855">
        <f>IF(IFERROR(INDEX(Spots!$K$2:$K$96,MATCH(A855,Spots!$A$2:$A$96,0)),"")="","",IFERROR(INDEX(Spots!$K$2:$K$96,MATCH(A855,Spots!$A$2:$A$96,0)),""))</f>
        <v/>
      </c>
      <c r="L855" s="3">
        <f>IF(OR(K855="",F855=""),"",F855/1000*K855*100)</f>
        <v/>
      </c>
      <c r="M855">
        <f>IF(OR(L855="",L855=0),"",ROUND(100/L855,0))</f>
        <v/>
      </c>
      <c r="N855" t="inlineStr">
        <is>
          <t>low sample</t>
        </is>
      </c>
    </row>
    <row r="856">
      <c r="A856" t="n">
        <v>92</v>
      </c>
      <c r="B856" t="inlineStr">
        <is>
          <t>Pila Ku Jail</t>
        </is>
      </c>
      <c r="C856" t="inlineStr">
        <is>
          <t>Any Artifact</t>
        </is>
      </c>
      <c r="D856" t="n">
        <v>0.15407447</v>
      </c>
      <c r="E856" t="n">
        <v>3275</v>
      </c>
      <c r="F856" s="3" t="n">
        <v>0.04704563969465649</v>
      </c>
      <c r="G856" t="n">
        <v>21256</v>
      </c>
      <c r="H856" s="3" t="n">
        <v>0.02410999286394643</v>
      </c>
      <c r="I856" s="3" t="n">
        <v>0.08259148654011697</v>
      </c>
      <c r="J856" t="n">
        <v>11.8</v>
      </c>
      <c r="K856">
        <f>IF(IFERROR(INDEX(Spots!$K$2:$K$96,MATCH(A856,Spots!$A$2:$A$96,0)),"")="","",IFERROR(INDEX(Spots!$K$2:$K$96,MATCH(A856,Spots!$A$2:$A$96,0)),""))</f>
        <v/>
      </c>
      <c r="L856" s="3">
        <f>IF(OR(K856="",F856=""),"",F856/1000*K856*100)</f>
        <v/>
      </c>
      <c r="M856">
        <f>IF(OR(L856="",L856=0),"",ROUND(100/L856,0))</f>
        <v/>
      </c>
      <c r="N856" t="inlineStr">
        <is>
          <t>low sample</t>
        </is>
      </c>
    </row>
    <row r="857">
      <c r="A857" t="n">
        <v>92</v>
      </c>
      <c r="B857" t="inlineStr">
        <is>
          <t>Pila Ku Jail</t>
        </is>
      </c>
      <c r="C857" t="inlineStr">
        <is>
          <t>Pila Ku Jail Paint</t>
        </is>
      </c>
      <c r="D857" t="n">
        <v>0.09447398</v>
      </c>
      <c r="E857" t="n">
        <v>3275</v>
      </c>
      <c r="F857" s="3" t="n">
        <v>0.02884701679389313</v>
      </c>
      <c r="G857" t="n">
        <v>34666</v>
      </c>
      <c r="H857" s="3" t="n">
        <v>0.01176420330472836</v>
      </c>
      <c r="I857" s="3" t="n">
        <v>0.05879775821182994</v>
      </c>
      <c r="J857" t="n">
        <v>7.2</v>
      </c>
      <c r="K857">
        <f>IF(IFERROR(INDEX(Spots!$K$2:$K$96,MATCH(A857,Spots!$A$2:$A$96,0)),"")="","",IFERROR(INDEX(Spots!$K$2:$K$96,MATCH(A857,Spots!$A$2:$A$96,0)),""))</f>
        <v/>
      </c>
      <c r="L857" s="3">
        <f>IF(OR(K857="",F857=""),"",F857/1000*K857*100)</f>
        <v/>
      </c>
      <c r="M857">
        <f>IF(OR(L857="",L857=0),"",ROUND(100/L857,0))</f>
        <v/>
      </c>
      <c r="N857" t="inlineStr">
        <is>
          <t>low sample</t>
        </is>
      </c>
    </row>
    <row r="858">
      <c r="A858" t="n">
        <v>92</v>
      </c>
      <c r="B858" t="inlineStr">
        <is>
          <t>Pila Ku Jail</t>
        </is>
      </c>
      <c r="C858" t="inlineStr">
        <is>
          <t>Imperfect Lightstone of Wind</t>
        </is>
      </c>
      <c r="D858" t="n">
        <v>0.07214614</v>
      </c>
      <c r="E858" t="n">
        <v>3275</v>
      </c>
      <c r="F858" s="3" t="n">
        <v>0.02202935572519084</v>
      </c>
      <c r="G858" t="n">
        <v>45394</v>
      </c>
      <c r="H858" s="3" t="n">
        <v>0.007612415963851232</v>
      </c>
      <c r="I858" s="3" t="n">
        <v>0.0494765288659306</v>
      </c>
      <c r="J858" t="n">
        <v>5.5</v>
      </c>
      <c r="K858">
        <f>IF(IFERROR(INDEX(Spots!$K$2:$K$96,MATCH(A858,Spots!$A$2:$A$96,0)),"")="","",IFERROR(INDEX(Spots!$K$2:$K$96,MATCH(A858,Spots!$A$2:$A$96,0)),""))</f>
        <v/>
      </c>
      <c r="L858" s="3">
        <f>IF(OR(K858="",F858=""),"",F858/1000*K858*100)</f>
        <v/>
      </c>
      <c r="M858">
        <f>IF(OR(L858="",L858=0),"",ROUND(100/L858,0))</f>
        <v/>
      </c>
      <c r="N858" t="inlineStr">
        <is>
          <t>low sample</t>
        </is>
      </c>
    </row>
    <row r="859">
      <c r="A859" t="n">
        <v>92</v>
      </c>
      <c r="B859" t="inlineStr">
        <is>
          <t>Pila Ku Jail</t>
        </is>
      </c>
      <c r="C859" t="inlineStr">
        <is>
          <t>Imperfect Lightstone of Earth</t>
        </is>
      </c>
      <c r="D859" t="n">
        <v>0.06296312</v>
      </c>
      <c r="E859" t="n">
        <v>3275</v>
      </c>
      <c r="F859" s="3" t="n">
        <v>0.01922538015267175</v>
      </c>
      <c r="G859" t="n">
        <v>52015</v>
      </c>
      <c r="H859" s="3" t="n">
        <v>0.006023944829450567</v>
      </c>
      <c r="I859" s="3" t="n">
        <v>0.04554444738722749</v>
      </c>
      <c r="J859" t="n">
        <v>4.8</v>
      </c>
      <c r="K859">
        <f>IF(IFERROR(INDEX(Spots!$K$2:$K$96,MATCH(A859,Spots!$A$2:$A$96,0)),"")="","",IFERROR(INDEX(Spots!$K$2:$K$96,MATCH(A859,Spots!$A$2:$A$96,0)),""))</f>
        <v/>
      </c>
      <c r="L859" s="3">
        <f>IF(OR(K859="",F859=""),"",F859/1000*K859*100)</f>
        <v/>
      </c>
      <c r="M859">
        <f>IF(OR(L859="",L859=0),"",ROUND(100/L859,0))</f>
        <v/>
      </c>
      <c r="N859" t="inlineStr">
        <is>
          <t>low sample</t>
        </is>
      </c>
    </row>
    <row r="860">
      <c r="A860" t="n">
        <v>92</v>
      </c>
      <c r="B860" t="inlineStr">
        <is>
          <t>Pila Ku Jail</t>
        </is>
      </c>
      <c r="C860" t="inlineStr">
        <is>
          <t>Specter's Energy</t>
        </is>
      </c>
      <c r="D860" t="n">
        <v>0.05357229</v>
      </c>
      <c r="E860" t="n">
        <v>3275</v>
      </c>
      <c r="F860" s="3" t="n">
        <v>0.01635795114503817</v>
      </c>
      <c r="G860" t="n">
        <v>61132</v>
      </c>
      <c r="H860" s="3" t="n">
        <v>0.00449481695097358</v>
      </c>
      <c r="I860" s="3" t="n">
        <v>0.04144698249872163</v>
      </c>
      <c r="J860" t="n">
        <v>4.1</v>
      </c>
      <c r="K860">
        <f>IF(IFERROR(INDEX(Spots!$K$2:$K$96,MATCH(A860,Spots!$A$2:$A$96,0)),"")="","",IFERROR(INDEX(Spots!$K$2:$K$96,MATCH(A860,Spots!$A$2:$A$96,0)),""))</f>
        <v/>
      </c>
      <c r="L860" s="3">
        <f>IF(OR(K860="",F860=""),"",F860/1000*K860*100)</f>
        <v/>
      </c>
      <c r="M860">
        <f>IF(OR(L860="",L860=0),"",ROUND(100/L860,0))</f>
        <v/>
      </c>
      <c r="N860" t="inlineStr">
        <is>
          <t>low sample</t>
        </is>
      </c>
    </row>
    <row r="861">
      <c r="A861" t="n">
        <v>92</v>
      </c>
      <c r="B861" t="inlineStr">
        <is>
          <t>Pila Ku Jail</t>
        </is>
      </c>
      <c r="C861" t="inlineStr">
        <is>
          <t>Great Marni's Stone (Pila Ku)</t>
        </is>
      </c>
      <c r="D861" t="n">
        <v>0.00956688</v>
      </c>
      <c r="E861" t="n">
        <v>3275</v>
      </c>
      <c r="F861" s="3" t="n">
        <v>0.002921184732824428</v>
      </c>
      <c r="G861" t="n">
        <v>342327</v>
      </c>
      <c r="H861" s="3" t="n">
        <v>1.754479657928214e-06</v>
      </c>
      <c r="I861" s="3" t="n">
        <v>0.02031466291084096</v>
      </c>
      <c r="J861" t="n">
        <v>0.7</v>
      </c>
      <c r="K861">
        <f>IF(IFERROR(INDEX(Spots!$K$2:$K$96,MATCH(A861,Spots!$A$2:$A$96,0)),"")="","",IFERROR(INDEX(Spots!$K$2:$K$96,MATCH(A861,Spots!$A$2:$A$96,0)),""))</f>
        <v/>
      </c>
      <c r="L861" s="3">
        <f>IF(OR(K861="",F861=""),"",F861/1000*K861*100)</f>
        <v/>
      </c>
      <c r="M861">
        <f>IF(OR(L861="",L861=0),"",ROUND(100/L861,0))</f>
        <v/>
      </c>
      <c r="N861" t="inlineStr">
        <is>
          <t>low sample</t>
        </is>
      </c>
    </row>
    <row r="862">
      <c r="A862" t="n">
        <v>29</v>
      </c>
      <c r="B862" t="inlineStr">
        <is>
          <t>Polly's Forest</t>
        </is>
      </c>
      <c r="C862" t="inlineStr">
        <is>
          <t>Ancient Spirit Dust</t>
        </is>
      </c>
      <c r="D862" t="n">
        <v>17.056</v>
      </c>
      <c r="E862" t="n">
        <v>9206.5</v>
      </c>
      <c r="F862" s="3" t="n">
        <v>1.852604138380492</v>
      </c>
      <c r="G862" t="n">
        <v>540</v>
      </c>
      <c r="H862" s="3" t="n">
        <v>1.777444188574594</v>
      </c>
      <c r="I862" s="3" t="n">
        <v>1.930125323587667</v>
      </c>
      <c r="J862" t="n">
        <v>2286.9</v>
      </c>
      <c r="K862">
        <f>IF(IFERROR(INDEX(Spots!$K$2:$K$96,MATCH(A862,Spots!$A$2:$A$96,0)),"")="","",IFERROR(INDEX(Spots!$K$2:$K$96,MATCH(A862,Spots!$A$2:$A$96,0)),""))</f>
        <v/>
      </c>
      <c r="L862" s="3">
        <f>IF(OR(K862="",F862=""),"",F862/1000*K862*100)</f>
        <v/>
      </c>
      <c r="M862">
        <f>IF(OR(L862="",L862=0),"",ROUND(100/L862,0))</f>
        <v/>
      </c>
      <c r="N862" t="inlineStr"/>
    </row>
    <row r="863">
      <c r="A863" t="n">
        <v>29</v>
      </c>
      <c r="B863" t="inlineStr">
        <is>
          <t>Polly's Forest</t>
        </is>
      </c>
      <c r="C863" t="inlineStr">
        <is>
          <t>Black Stone</t>
        </is>
      </c>
      <c r="D863" t="n">
        <v>14.565</v>
      </c>
      <c r="E863" t="n">
        <v>9206.5</v>
      </c>
      <c r="F863" s="3" t="n">
        <v>1.582034432194645</v>
      </c>
      <c r="G863" t="n">
        <v>632</v>
      </c>
      <c r="H863" s="3" t="n">
        <v>1.512638146542038</v>
      </c>
      <c r="I863" s="3" t="n">
        <v>1.653793303763697</v>
      </c>
      <c r="J863" t="n">
        <v>1952.9</v>
      </c>
      <c r="K863">
        <f>IF(IFERROR(INDEX(Spots!$K$2:$K$96,MATCH(A863,Spots!$A$2:$A$96,0)),"")="","",IFERROR(INDEX(Spots!$K$2:$K$96,MATCH(A863,Spots!$A$2:$A$96,0)),""))</f>
        <v/>
      </c>
      <c r="L863" s="3">
        <f>IF(OR(K863="",F863=""),"",F863/1000*K863*100)</f>
        <v/>
      </c>
      <c r="M863">
        <f>IF(OR(L863="",L863=0),"",ROUND(100/L863,0))</f>
        <v/>
      </c>
      <c r="N863" t="inlineStr"/>
    </row>
    <row r="864">
      <c r="A864" t="n">
        <v>29</v>
      </c>
      <c r="B864" t="inlineStr">
        <is>
          <t>Polly's Forest</t>
        </is>
      </c>
      <c r="C864" t="inlineStr">
        <is>
          <t>Trace of Nature</t>
        </is>
      </c>
      <c r="D864" t="n">
        <v>8.641048</v>
      </c>
      <c r="E864" t="n">
        <v>9206.5</v>
      </c>
      <c r="F864" s="3" t="n">
        <v>0.9385812197903655</v>
      </c>
      <c r="G864" t="n">
        <v>1065</v>
      </c>
      <c r="H864" s="3" t="n">
        <v>0.8853069629413299</v>
      </c>
      <c r="I864" s="3" t="n">
        <v>0.9942233595146677</v>
      </c>
      <c r="J864" t="n">
        <v>1158.6</v>
      </c>
      <c r="K864">
        <f>IF(IFERROR(INDEX(Spots!$K$2:$K$96,MATCH(A864,Spots!$A$2:$A$96,0)),"")="","",IFERROR(INDEX(Spots!$K$2:$K$96,MATCH(A864,Spots!$A$2:$A$96,0)),""))</f>
        <v/>
      </c>
      <c r="L864" s="3">
        <f>IF(OR(K864="",F864=""),"",F864/1000*K864*100)</f>
        <v/>
      </c>
      <c r="M864">
        <f>IF(OR(L864="",L864=0),"",ROUND(100/L864,0))</f>
        <v/>
      </c>
      <c r="N864" t="inlineStr"/>
    </row>
    <row r="865">
      <c r="A865" t="n">
        <v>29</v>
      </c>
      <c r="B865" t="inlineStr">
        <is>
          <t>Polly's Forest</t>
        </is>
      </c>
      <c r="C865" t="inlineStr">
        <is>
          <t>Water Spirit Stone Fragment</t>
        </is>
      </c>
      <c r="D865" t="n">
        <v>7.49665</v>
      </c>
      <c r="E865" t="n">
        <v>9206.5</v>
      </c>
      <c r="F865" s="3" t="n">
        <v>0.8142779557921034</v>
      </c>
      <c r="G865" t="n">
        <v>1228</v>
      </c>
      <c r="H865" s="3" t="n">
        <v>0.7647098214635732</v>
      </c>
      <c r="I865" s="3" t="n">
        <v>0.8662156667254072</v>
      </c>
      <c r="J865" t="n">
        <v>1005.2</v>
      </c>
      <c r="K865">
        <f>IF(IFERROR(INDEX(Spots!$K$2:$K$96,MATCH(A865,Spots!$A$2:$A$96,0)),"")="","",IFERROR(INDEX(Spots!$K$2:$K$96,MATCH(A865,Spots!$A$2:$A$96,0)),""))</f>
        <v/>
      </c>
      <c r="L865" s="3">
        <f>IF(OR(K865="",F865=""),"",F865/1000*K865*100)</f>
        <v/>
      </c>
      <c r="M865">
        <f>IF(OR(L865="",L865=0),"",ROUND(100/L865,0))</f>
        <v/>
      </c>
      <c r="N865" t="inlineStr"/>
    </row>
    <row r="866">
      <c r="A866" t="n">
        <v>29</v>
      </c>
      <c r="B866" t="inlineStr">
        <is>
          <t>Polly's Forest</t>
        </is>
      </c>
      <c r="C866" t="inlineStr">
        <is>
          <t>Caphras Stone</t>
        </is>
      </c>
      <c r="D866" t="n">
        <v>4.941079</v>
      </c>
      <c r="E866" t="n">
        <v>9206.5</v>
      </c>
      <c r="F866" s="3" t="n">
        <v>0.5366946179329821</v>
      </c>
      <c r="G866" t="n">
        <v>1863</v>
      </c>
      <c r="H866" s="3" t="n">
        <v>0.4965985786598829</v>
      </c>
      <c r="I866" s="3" t="n">
        <v>0.5791659455499563</v>
      </c>
      <c r="J866" t="n">
        <v>662.5</v>
      </c>
      <c r="K866">
        <f>IF(IFERROR(INDEX(Spots!$K$2:$K$96,MATCH(A866,Spots!$A$2:$A$96,0)),"")="","",IFERROR(INDEX(Spots!$K$2:$K$96,MATCH(A866,Spots!$A$2:$A$96,0)),""))</f>
        <v/>
      </c>
      <c r="L866" s="3">
        <f>IF(OR(K866="",F866=""),"",F866/1000*K866*100)</f>
        <v/>
      </c>
      <c r="M866">
        <f>IF(OR(L866="",L866=0),"",ROUND(100/L866,0))</f>
        <v/>
      </c>
      <c r="N866" t="inlineStr"/>
    </row>
    <row r="867">
      <c r="A867" t="n">
        <v>29</v>
      </c>
      <c r="B867" t="inlineStr">
        <is>
          <t>Polly's Forest</t>
        </is>
      </c>
      <c r="C867" t="inlineStr">
        <is>
          <t>Life Spirit Stone</t>
        </is>
      </c>
      <c r="D867" t="n">
        <v>3.691169</v>
      </c>
      <c r="E867" t="n">
        <v>9206.5</v>
      </c>
      <c r="F867" s="3" t="n">
        <v>0.4009307554445229</v>
      </c>
      <c r="G867" t="n">
        <v>2494</v>
      </c>
      <c r="H867" s="3" t="n">
        <v>0.3663807215263453</v>
      </c>
      <c r="I867" s="3" t="n">
        <v>0.4378608283689072</v>
      </c>
      <c r="J867" t="n">
        <v>494.9</v>
      </c>
      <c r="K867">
        <f>IF(IFERROR(INDEX(Spots!$K$2:$K$96,MATCH(A867,Spots!$A$2:$A$96,0)),"")="","",IFERROR(INDEX(Spots!$K$2:$K$96,MATCH(A867,Spots!$A$2:$A$96,0)),""))</f>
        <v/>
      </c>
      <c r="L867" s="3">
        <f>IF(OR(K867="",F867=""),"",F867/1000*K867*100)</f>
        <v/>
      </c>
      <c r="M867">
        <f>IF(OR(L867="",L867=0),"",ROUND(100/L867,0))</f>
        <v/>
      </c>
      <c r="N867" t="inlineStr"/>
    </row>
    <row r="868">
      <c r="A868" t="n">
        <v>29</v>
      </c>
      <c r="B868" t="inlineStr">
        <is>
          <t>Polly's Forest</t>
        </is>
      </c>
      <c r="C868" t="inlineStr">
        <is>
          <t>Dew of Tranquil Forest</t>
        </is>
      </c>
      <c r="D868" t="n">
        <v>2.976751</v>
      </c>
      <c r="E868" t="n">
        <v>9206.5</v>
      </c>
      <c r="F868" s="3" t="n">
        <v>0.3233314506055504</v>
      </c>
      <c r="G868" t="n">
        <v>3093</v>
      </c>
      <c r="H868" s="3" t="n">
        <v>0.2923840100294312</v>
      </c>
      <c r="I868" s="3" t="n">
        <v>0.356662895154954</v>
      </c>
      <c r="J868" t="n">
        <v>399.1</v>
      </c>
      <c r="K868">
        <f>IF(IFERROR(INDEX(Spots!$K$2:$K$96,MATCH(A868,Spots!$A$2:$A$96,0)),"")="","",IFERROR(INDEX(Spots!$K$2:$K$96,MATCH(A868,Spots!$A$2:$A$96,0)),""))</f>
        <v/>
      </c>
      <c r="L868" s="3">
        <f>IF(OR(K868="",F868=""),"",F868/1000*K868*100)</f>
        <v/>
      </c>
      <c r="M868">
        <f>IF(OR(L868="",L868=0),"",ROUND(100/L868,0))</f>
        <v/>
      </c>
      <c r="N868" t="inlineStr"/>
    </row>
    <row r="869">
      <c r="A869" t="n">
        <v>29</v>
      </c>
      <c r="B869" t="inlineStr">
        <is>
          <t>Polly's Forest</t>
        </is>
      </c>
      <c r="C869" t="inlineStr">
        <is>
          <t>Pure Forest Breath</t>
        </is>
      </c>
      <c r="D869" t="n">
        <v>2.116284</v>
      </c>
      <c r="E869" t="n">
        <v>9206.5</v>
      </c>
      <c r="F869" s="3" t="n">
        <v>0.2298684624993211</v>
      </c>
      <c r="G869" t="n">
        <v>4350</v>
      </c>
      <c r="H869" s="3" t="n">
        <v>0.203896866994387</v>
      </c>
      <c r="I869" s="3" t="n">
        <v>0.25823126856842</v>
      </c>
      <c r="J869" t="n">
        <v>283.8</v>
      </c>
      <c r="K869">
        <f>IF(IFERROR(INDEX(Spots!$K$2:$K$96,MATCH(A869,Spots!$A$2:$A$96,0)),"")="","",IFERROR(INDEX(Spots!$K$2:$K$96,MATCH(A869,Spots!$A$2:$A$96,0)),""))</f>
        <v/>
      </c>
      <c r="L869" s="3">
        <f>IF(OR(K869="",F869=""),"",F869/1000*K869*100)</f>
        <v/>
      </c>
      <c r="M869">
        <f>IF(OR(L869="",L869=0),"",ROUND(100/L869,0))</f>
        <v/>
      </c>
      <c r="N869" t="inlineStr"/>
    </row>
    <row r="870">
      <c r="A870" t="n">
        <v>29</v>
      </c>
      <c r="B870" t="inlineStr">
        <is>
          <t>Polly's Forest</t>
        </is>
      </c>
      <c r="C870" t="inlineStr">
        <is>
          <t>Manshaum Voodoo Doll</t>
        </is>
      </c>
      <c r="D870" t="n">
        <v>1.957342</v>
      </c>
      <c r="E870" t="n">
        <v>9206.5</v>
      </c>
      <c r="F870" s="3" t="n">
        <v>0.2126043556183131</v>
      </c>
      <c r="G870" t="n">
        <v>4704</v>
      </c>
      <c r="H870" s="3" t="n">
        <v>0.1876570114620542</v>
      </c>
      <c r="I870" s="3" t="n">
        <v>0.2399447343485072</v>
      </c>
      <c r="J870" t="n">
        <v>262.4</v>
      </c>
      <c r="K870">
        <f>IF(IFERROR(INDEX(Spots!$K$2:$K$96,MATCH(A870,Spots!$A$2:$A$96,0)),"")="","",IFERROR(INDEX(Spots!$K$2:$K$96,MATCH(A870,Spots!$A$2:$A$96,0)),""))</f>
        <v/>
      </c>
      <c r="L870" s="3">
        <f>IF(OR(K870="",F870=""),"",F870/1000*K870*100)</f>
        <v/>
      </c>
      <c r="M870">
        <f>IF(OR(L870="",L870=0),"",ROUND(100/L870,0))</f>
        <v/>
      </c>
      <c r="N870" t="inlineStr"/>
    </row>
    <row r="871">
      <c r="A871" t="n">
        <v>29</v>
      </c>
      <c r="B871" t="inlineStr">
        <is>
          <t>Polly's Forest</t>
        </is>
      </c>
      <c r="C871" t="inlineStr">
        <is>
          <t>Mass of Pure Magic</t>
        </is>
      </c>
      <c r="D871" t="n">
        <v>1.424984</v>
      </c>
      <c r="E871" t="n">
        <v>9206.5</v>
      </c>
      <c r="F871" s="3" t="n">
        <v>0.1547802096344974</v>
      </c>
      <c r="G871" t="n">
        <v>6461</v>
      </c>
      <c r="H871" s="3" t="n">
        <v>0.1336090517349151</v>
      </c>
      <c r="I871" s="3" t="n">
        <v>0.1783525699788014</v>
      </c>
      <c r="J871" t="n">
        <v>191.1</v>
      </c>
      <c r="K871">
        <f>IF(IFERROR(INDEX(Spots!$K$2:$K$96,MATCH(A871,Spots!$A$2:$A$96,0)),"")="","",IFERROR(INDEX(Spots!$K$2:$K$96,MATCH(A871,Spots!$A$2:$A$96,0)),""))</f>
        <v/>
      </c>
      <c r="L871" s="3">
        <f>IF(OR(K871="",F871=""),"",F871/1000*K871*100)</f>
        <v/>
      </c>
      <c r="M871">
        <f>IF(OR(L871="",L871=0),"",ROUND(100/L871,0))</f>
        <v/>
      </c>
      <c r="N871" t="inlineStr"/>
    </row>
    <row r="872">
      <c r="A872" t="n">
        <v>29</v>
      </c>
      <c r="B872" t="inlineStr">
        <is>
          <t>Polly's Forest</t>
        </is>
      </c>
      <c r="C872" t="inlineStr">
        <is>
          <t>Atanis' Element</t>
        </is>
      </c>
      <c r="D872" t="n">
        <v>0.81193585</v>
      </c>
      <c r="E872" t="n">
        <v>9206.5</v>
      </c>
      <c r="F872" s="3" t="n">
        <v>0.08819158746537772</v>
      </c>
      <c r="G872" t="n">
        <v>11339</v>
      </c>
      <c r="H872" s="3" t="n">
        <v>0.07240360389145446</v>
      </c>
      <c r="I872" s="3" t="n">
        <v>0.1063986900153409</v>
      </c>
      <c r="J872" t="n">
        <v>108.9</v>
      </c>
      <c r="K872">
        <f>IF(IFERROR(INDEX(Spots!$K$2:$K$96,MATCH(A872,Spots!$A$2:$A$96,0)),"")="","",IFERROR(INDEX(Spots!$K$2:$K$96,MATCH(A872,Spots!$A$2:$A$96,0)),""))</f>
        <v/>
      </c>
      <c r="L872" s="3">
        <f>IF(OR(K872="",F872=""),"",F872/1000*K872*100)</f>
        <v/>
      </c>
      <c r="M872">
        <f>IF(OR(L872="",L872=0),"",ROUND(100/L872,0))</f>
        <v/>
      </c>
      <c r="N872" t="inlineStr"/>
    </row>
    <row r="873">
      <c r="A873" t="n">
        <v>29</v>
      </c>
      <c r="B873" t="inlineStr">
        <is>
          <t>Polly's Forest</t>
        </is>
      </c>
      <c r="C873" t="inlineStr">
        <is>
          <t>Imperfect Lightstone of Wind</t>
        </is>
      </c>
      <c r="D873" t="n">
        <v>0.5364719999999999</v>
      </c>
      <c r="E873" t="n">
        <v>9206.5</v>
      </c>
      <c r="F873" s="3" t="n">
        <v>0.05827100418182805</v>
      </c>
      <c r="G873" t="n">
        <v>17161</v>
      </c>
      <c r="H873" s="3" t="n">
        <v>0.04558578465711815</v>
      </c>
      <c r="I873" s="3" t="n">
        <v>0.0733919628727773</v>
      </c>
      <c r="J873" t="n">
        <v>71.90000000000001</v>
      </c>
      <c r="K873">
        <f>IF(IFERROR(INDEX(Spots!$K$2:$K$96,MATCH(A873,Spots!$A$2:$A$96,0)),"")="","",IFERROR(INDEX(Spots!$K$2:$K$96,MATCH(A873,Spots!$A$2:$A$96,0)),""))</f>
        <v/>
      </c>
      <c r="L873" s="3">
        <f>IF(OR(K873="",F873=""),"",F873/1000*K873*100)</f>
        <v/>
      </c>
      <c r="M873">
        <f>IF(OR(L873="",L873=0),"",ROUND(100/L873,0))</f>
        <v/>
      </c>
      <c r="N873" t="inlineStr"/>
    </row>
    <row r="874">
      <c r="A874" t="n">
        <v>29</v>
      </c>
      <c r="B874" t="inlineStr">
        <is>
          <t>Polly's Forest</t>
        </is>
      </c>
      <c r="C874" t="inlineStr">
        <is>
          <t>Lemoria Shoes</t>
        </is>
      </c>
      <c r="D874" t="n">
        <v>0.49238393</v>
      </c>
      <c r="E874" t="n">
        <v>9206.5</v>
      </c>
      <c r="F874" s="3" t="n">
        <v>0.05348220605007332</v>
      </c>
      <c r="G874" t="n">
        <v>18698</v>
      </c>
      <c r="H874" s="3" t="n">
        <v>0.04136273227479825</v>
      </c>
      <c r="I874" s="3" t="n">
        <v>0.06804128025697809</v>
      </c>
      <c r="J874" t="n">
        <v>66</v>
      </c>
      <c r="K874">
        <f>IF(IFERROR(INDEX(Spots!$K$2:$K$96,MATCH(A874,Spots!$A$2:$A$96,0)),"")="","",IFERROR(INDEX(Spots!$K$2:$K$96,MATCH(A874,Spots!$A$2:$A$96,0)),""))</f>
        <v/>
      </c>
      <c r="L874" s="3">
        <f>IF(OR(K874="",F874=""),"",F874/1000*K874*100)</f>
        <v/>
      </c>
      <c r="M874">
        <f>IF(OR(L874="",L874=0),"",ROUND(100/L874,0))</f>
        <v/>
      </c>
      <c r="N874" t="inlineStr"/>
    </row>
    <row r="875">
      <c r="A875" t="n">
        <v>29</v>
      </c>
      <c r="B875" t="inlineStr">
        <is>
          <t>Polly's Forest</t>
        </is>
      </c>
      <c r="C875" t="inlineStr">
        <is>
          <t>Lemoria Armor</t>
        </is>
      </c>
      <c r="D875" t="n">
        <v>0.43862595</v>
      </c>
      <c r="E875" t="n">
        <v>9206.5</v>
      </c>
      <c r="F875" s="3" t="n">
        <v>0.04764307282897953</v>
      </c>
      <c r="G875" t="n">
        <v>20989</v>
      </c>
      <c r="H875" s="3" t="n">
        <v>0.03624897643334801</v>
      </c>
      <c r="I875" s="3" t="n">
        <v>0.06148222487399015</v>
      </c>
      <c r="J875" t="n">
        <v>58.8</v>
      </c>
      <c r="K875">
        <f>IF(IFERROR(INDEX(Spots!$K$2:$K$96,MATCH(A875,Spots!$A$2:$A$96,0)),"")="","",IFERROR(INDEX(Spots!$K$2:$K$96,MATCH(A875,Spots!$A$2:$A$96,0)),""))</f>
        <v/>
      </c>
      <c r="L875" s="3">
        <f>IF(OR(K875="",F875=""),"",F875/1000*K875*100)</f>
        <v/>
      </c>
      <c r="M875">
        <f>IF(OR(L875="",L875=0),"",ROUND(100/L875,0))</f>
        <v/>
      </c>
      <c r="N875" t="inlineStr"/>
    </row>
    <row r="876">
      <c r="A876" t="n">
        <v>29</v>
      </c>
      <c r="B876" t="inlineStr">
        <is>
          <t>Polly's Forest</t>
        </is>
      </c>
      <c r="C876" t="inlineStr">
        <is>
          <t>Imperfect Lightstone of Fire</t>
        </is>
      </c>
      <c r="D876" t="n">
        <v>0.11098914</v>
      </c>
      <c r="E876" t="n">
        <v>9206.5</v>
      </c>
      <c r="F876" s="3" t="n">
        <v>0.01205551946993972</v>
      </c>
      <c r="G876" t="n">
        <v>82950</v>
      </c>
      <c r="H876" s="3" t="n">
        <v>0.006724542482855192</v>
      </c>
      <c r="I876" s="3" t="n">
        <v>0.019923567799802</v>
      </c>
      <c r="J876" t="n">
        <v>14.9</v>
      </c>
      <c r="K876">
        <f>IF(IFERROR(INDEX(Spots!$K$2:$K$96,MATCH(A876,Spots!$A$2:$A$96,0)),"")="","",IFERROR(INDEX(Spots!$K$2:$K$96,MATCH(A876,Spots!$A$2:$A$96,0)),""))</f>
        <v/>
      </c>
      <c r="L876" s="3">
        <f>IF(OR(K876="",F876=""),"",F876/1000*K876*100)</f>
        <v/>
      </c>
      <c r="M876">
        <f>IF(OR(L876="",L876=0),"",ROUND(100/L876,0))</f>
        <v/>
      </c>
      <c r="N876" t="inlineStr">
        <is>
          <t>low sample</t>
        </is>
      </c>
    </row>
    <row r="877">
      <c r="A877" t="n">
        <v>29</v>
      </c>
      <c r="B877" t="inlineStr">
        <is>
          <t>Polly's Forest</t>
        </is>
      </c>
      <c r="C877" t="inlineStr">
        <is>
          <t>Any Artifact</t>
        </is>
      </c>
      <c r="D877" t="n">
        <v>0.09126793</v>
      </c>
      <c r="E877" t="n">
        <v>9206.5</v>
      </c>
      <c r="F877" s="3" t="n">
        <v>0.009913423124966056</v>
      </c>
      <c r="G877" t="n">
        <v>100873</v>
      </c>
      <c r="H877" s="3" t="n">
        <v>0.005155237352172436</v>
      </c>
      <c r="I877" s="3" t="n">
        <v>0.01722672821964698</v>
      </c>
      <c r="J877" t="n">
        <v>12.2</v>
      </c>
      <c r="K877">
        <f>IF(IFERROR(INDEX(Spots!$K$2:$K$96,MATCH(A877,Spots!$A$2:$A$96,0)),"")="","",IFERROR(INDEX(Spots!$K$2:$K$96,MATCH(A877,Spots!$A$2:$A$96,0)),""))</f>
        <v/>
      </c>
      <c r="L877" s="3">
        <f>IF(OR(K877="",F877=""),"",F877/1000*K877*100)</f>
        <v/>
      </c>
      <c r="M877">
        <f>IF(OR(L877="",L877=0),"",ROUND(100/L877,0))</f>
        <v/>
      </c>
      <c r="N877" t="inlineStr">
        <is>
          <t>low sample</t>
        </is>
      </c>
    </row>
    <row r="878">
      <c r="A878" t="n">
        <v>29</v>
      </c>
      <c r="B878" t="inlineStr">
        <is>
          <t>Polly's Forest</t>
        </is>
      </c>
      <c r="C878" t="inlineStr">
        <is>
          <t>Imperfect Lightstone of Earth</t>
        </is>
      </c>
      <c r="D878" t="n">
        <v>0.07646355000000001</v>
      </c>
      <c r="E878" t="n">
        <v>9206.5</v>
      </c>
      <c r="F878" s="3" t="n">
        <v>0.008305387497963397</v>
      </c>
      <c r="G878" t="n">
        <v>120404</v>
      </c>
      <c r="H878" s="3" t="n">
        <v>0.004019466436070592</v>
      </c>
      <c r="I878" s="3" t="n">
        <v>0.01516400131725659</v>
      </c>
      <c r="J878" t="n">
        <v>10.3</v>
      </c>
      <c r="K878">
        <f>IF(IFERROR(INDEX(Spots!$K$2:$K$96,MATCH(A878,Spots!$A$2:$A$96,0)),"")="","",IFERROR(INDEX(Spots!$K$2:$K$96,MATCH(A878,Spots!$A$2:$A$96,0)),""))</f>
        <v/>
      </c>
      <c r="L878" s="3">
        <f>IF(OR(K878="",F878=""),"",F878/1000*K878*100)</f>
        <v/>
      </c>
      <c r="M878">
        <f>IF(OR(L878="",L878=0),"",ROUND(100/L878,0))</f>
        <v/>
      </c>
      <c r="N878" t="inlineStr">
        <is>
          <t>low sample</t>
        </is>
      </c>
    </row>
    <row r="879">
      <c r="A879" t="n">
        <v>29</v>
      </c>
      <c r="B879" t="inlineStr">
        <is>
          <t>Polly's Forest</t>
        </is>
      </c>
      <c r="C879" t="inlineStr">
        <is>
          <t>Specter's Energy</t>
        </is>
      </c>
      <c r="D879" t="n">
        <v>0.02943341</v>
      </c>
      <c r="E879" t="n">
        <v>9206.5</v>
      </c>
      <c r="F879" s="3" t="n">
        <v>0.003197024928039972</v>
      </c>
      <c r="G879" t="n">
        <v>312791</v>
      </c>
      <c r="H879" s="3" t="n">
        <v>0.0008498174489331688</v>
      </c>
      <c r="I879" s="3" t="n">
        <v>0.0082331733296051</v>
      </c>
      <c r="J879" t="n">
        <v>3.9</v>
      </c>
      <c r="K879">
        <f>IF(IFERROR(INDEX(Spots!$K$2:$K$96,MATCH(A879,Spots!$A$2:$A$96,0)),"")="","",IFERROR(INDEX(Spots!$K$2:$K$96,MATCH(A879,Spots!$A$2:$A$96,0)),""))</f>
        <v/>
      </c>
      <c r="L879" s="3">
        <f>IF(OR(K879="",F879=""),"",F879/1000*K879*100)</f>
        <v/>
      </c>
      <c r="M879">
        <f>IF(OR(L879="",L879=0),"",ROUND(100/L879,0))</f>
        <v/>
      </c>
      <c r="N879" t="inlineStr">
        <is>
          <t>low sample</t>
        </is>
      </c>
    </row>
    <row r="880">
      <c r="A880" t="n">
        <v>29</v>
      </c>
      <c r="B880" t="inlineStr">
        <is>
          <t>Polly's Forest</t>
        </is>
      </c>
      <c r="C880" t="inlineStr">
        <is>
          <t>Manos Craftsman's Clothes</t>
        </is>
      </c>
      <c r="D880" t="n">
        <v>0.00580626</v>
      </c>
      <c r="E880" t="n">
        <v>9206.5</v>
      </c>
      <c r="F880" s="3" t="n">
        <v>0.0006306696355835551</v>
      </c>
      <c r="G880" t="n">
        <v>1585616</v>
      </c>
      <c r="H880" s="3" t="n">
        <v>1.005528976900505e-06</v>
      </c>
      <c r="I880" s="3" t="n">
        <v>0.00419033389041328</v>
      </c>
      <c r="J880" t="n">
        <v>0.8</v>
      </c>
      <c r="K880">
        <f>IF(IFERROR(INDEX(Spots!$K$2:$K$96,MATCH(A880,Spots!$A$2:$A$96,0)),"")="","",IFERROR(INDEX(Spots!$K$2:$K$96,MATCH(A880,Spots!$A$2:$A$96,0)),""))</f>
        <v/>
      </c>
      <c r="L880" s="3">
        <f>IF(OR(K880="",F880=""),"",F880/1000*K880*100)</f>
        <v/>
      </c>
      <c r="M880">
        <f>IF(OR(L880="",L880=0),"",ROUND(100/L880,0))</f>
        <v/>
      </c>
      <c r="N880" t="inlineStr">
        <is>
          <t>low sample</t>
        </is>
      </c>
    </row>
    <row r="881">
      <c r="A881" t="n">
        <v>29</v>
      </c>
      <c r="B881" t="inlineStr">
        <is>
          <t>Polly's Forest</t>
        </is>
      </c>
      <c r="C881" t="inlineStr">
        <is>
          <t>Great Marni's Stone (Polly's Forest)</t>
        </is>
      </c>
      <c r="D881" t="n">
        <v>0.0049747</v>
      </c>
      <c r="E881" t="n">
        <v>9206.5</v>
      </c>
      <c r="F881" s="3" t="n">
        <v>0.000540346494324662</v>
      </c>
      <c r="G881" t="n">
        <v>1850664</v>
      </c>
      <c r="H881" s="3" t="n">
        <v>2.026114994401291e-08</v>
      </c>
      <c r="I881" s="3" t="n">
        <v>0.004027019603714044</v>
      </c>
      <c r="J881" t="n">
        <v>0.7</v>
      </c>
      <c r="K881">
        <f>IF(IFERROR(INDEX(Spots!$K$2:$K$96,MATCH(A881,Spots!$A$2:$A$96,0)),"")="","",IFERROR(INDEX(Spots!$K$2:$K$96,MATCH(A881,Spots!$A$2:$A$96,0)),""))</f>
        <v/>
      </c>
      <c r="L881" s="3">
        <f>IF(OR(K881="",F881=""),"",F881/1000*K881*100)</f>
        <v/>
      </c>
      <c r="M881">
        <f>IF(OR(L881="",L881=0),"",ROUND(100/L881,0))</f>
        <v/>
      </c>
      <c r="N881" t="inlineStr">
        <is>
          <t>low sample</t>
        </is>
      </c>
    </row>
    <row r="882">
      <c r="A882" t="n">
        <v>120</v>
      </c>
      <c r="B882" t="inlineStr">
        <is>
          <t>Primal Giant Post</t>
        </is>
      </c>
      <c r="C882" t="inlineStr">
        <is>
          <t>Tattered Shadow</t>
        </is>
      </c>
      <c r="D882" t="n">
        <v>117.94</v>
      </c>
      <c r="E882" t="n">
        <v>9178.5</v>
      </c>
      <c r="F882" s="3" t="n">
        <v>12.84959416026584</v>
      </c>
      <c r="G882" t="n">
        <v>78</v>
      </c>
      <c r="H882" s="3" t="n">
        <v>12.77643785293477</v>
      </c>
      <c r="I882" s="3" t="n">
        <v>12.92306546737645</v>
      </c>
      <c r="J882" t="n">
        <v>118185.7</v>
      </c>
      <c r="K882">
        <f>IF(IFERROR(INDEX(Spots!$K$2:$K$96,MATCH(A882,Spots!$A$2:$A$96,0)),"")="","",IFERROR(INDEX(Spots!$K$2:$K$96,MATCH(A882,Spots!$A$2:$A$96,0)),""))</f>
        <v/>
      </c>
      <c r="L882" s="3">
        <f>IF(OR(K882="",F882=""),"",F882/1000*K882*100)</f>
        <v/>
      </c>
      <c r="M882">
        <f>IF(OR(L882="",L882=0),"",ROUND(100/L882,0))</f>
        <v/>
      </c>
      <c r="N882" t="inlineStr"/>
    </row>
    <row r="883">
      <c r="A883" t="n">
        <v>120</v>
      </c>
      <c r="B883" t="inlineStr">
        <is>
          <t>Primal Giant Post</t>
        </is>
      </c>
      <c r="C883" t="inlineStr">
        <is>
          <t>Black Stone</t>
        </is>
      </c>
      <c r="D883" t="n">
        <v>42.484</v>
      </c>
      <c r="E883" t="n">
        <v>9178.5</v>
      </c>
      <c r="F883" s="3" t="n">
        <v>4.628643024459334</v>
      </c>
      <c r="G883" t="n">
        <v>216</v>
      </c>
      <c r="H883" s="3" t="n">
        <v>4.584777236570196</v>
      </c>
      <c r="I883" s="3" t="n">
        <v>4.672824018248931</v>
      </c>
      <c r="J883" t="n">
        <v>42572.5</v>
      </c>
      <c r="K883">
        <f>IF(IFERROR(INDEX(Spots!$K$2:$K$96,MATCH(A883,Spots!$A$2:$A$96,0)),"")="","",IFERROR(INDEX(Spots!$K$2:$K$96,MATCH(A883,Spots!$A$2:$A$96,0)),""))</f>
        <v/>
      </c>
      <c r="L883" s="3">
        <f>IF(OR(K883="",F883=""),"",F883/1000*K883*100)</f>
        <v/>
      </c>
      <c r="M883">
        <f>IF(OR(L883="",L883=0),"",ROUND(100/L883,0))</f>
        <v/>
      </c>
      <c r="N883" t="inlineStr"/>
    </row>
    <row r="884">
      <c r="A884" t="n">
        <v>120</v>
      </c>
      <c r="B884" t="inlineStr">
        <is>
          <t>Primal Giant Post</t>
        </is>
      </c>
      <c r="C884" t="inlineStr">
        <is>
          <t>Ancient Spirit Dust</t>
        </is>
      </c>
      <c r="D884" t="n">
        <v>26.476</v>
      </c>
      <c r="E884" t="n">
        <v>9178.5</v>
      </c>
      <c r="F884" s="3" t="n">
        <v>2.884567195075448</v>
      </c>
      <c r="G884" t="n">
        <v>347</v>
      </c>
      <c r="H884" s="3" t="n">
        <v>2.849959961708085</v>
      </c>
      <c r="I884" s="3" t="n">
        <v>2.919489771759098</v>
      </c>
      <c r="J884" t="n">
        <v>26531.2</v>
      </c>
      <c r="K884">
        <f>IF(IFERROR(INDEX(Spots!$K$2:$K$96,MATCH(A884,Spots!$A$2:$A$96,0)),"")="","",IFERROR(INDEX(Spots!$K$2:$K$96,MATCH(A884,Spots!$A$2:$A$96,0)),""))</f>
        <v/>
      </c>
      <c r="L884" s="3">
        <f>IF(OR(K884="",F884=""),"",F884/1000*K884*100)</f>
        <v/>
      </c>
      <c r="M884">
        <f>IF(OR(L884="",L884=0),"",ROUND(100/L884,0))</f>
        <v/>
      </c>
      <c r="N884" t="inlineStr"/>
    </row>
    <row r="885">
      <c r="A885" t="n">
        <v>120</v>
      </c>
      <c r="B885" t="inlineStr">
        <is>
          <t>Primal Giant Post</t>
        </is>
      </c>
      <c r="C885" t="inlineStr">
        <is>
          <t>Caphras Stone</t>
        </is>
      </c>
      <c r="D885" t="n">
        <v>8.761009</v>
      </c>
      <c r="E885" t="n">
        <v>9178.5</v>
      </c>
      <c r="F885" s="3" t="n">
        <v>0.9545142452470448</v>
      </c>
      <c r="G885" t="n">
        <v>1048</v>
      </c>
      <c r="H885" s="3" t="n">
        <v>0.9346505613064523</v>
      </c>
      <c r="I885" s="3" t="n">
        <v>0.9746937537594026</v>
      </c>
      <c r="J885" t="n">
        <v>8779.299999999999</v>
      </c>
      <c r="K885">
        <f>IF(IFERROR(INDEX(Spots!$K$2:$K$96,MATCH(A885,Spots!$A$2:$A$96,0)),"")="","",IFERROR(INDEX(Spots!$K$2:$K$96,MATCH(A885,Spots!$A$2:$A$96,0)),""))</f>
        <v/>
      </c>
      <c r="L885" s="3">
        <f>IF(OR(K885="",F885=""),"",F885/1000*K885*100)</f>
        <v/>
      </c>
      <c r="M885">
        <f>IF(OR(L885="",L885=0),"",ROUND(100/L885,0))</f>
        <v/>
      </c>
      <c r="N885" t="inlineStr"/>
    </row>
    <row r="886">
      <c r="A886" t="n">
        <v>120</v>
      </c>
      <c r="B886" t="inlineStr">
        <is>
          <t>Primal Giant Post</t>
        </is>
      </c>
      <c r="C886" t="inlineStr">
        <is>
          <t>Sealed Black Magic Crystal</t>
        </is>
      </c>
      <c r="D886" t="n">
        <v>4.772082</v>
      </c>
      <c r="E886" t="n">
        <v>9178.5</v>
      </c>
      <c r="F886" s="3" t="n">
        <v>0.5199195947050173</v>
      </c>
      <c r="G886" t="n">
        <v>1923</v>
      </c>
      <c r="H886" s="3" t="n">
        <v>0.5052865918873108</v>
      </c>
      <c r="I886" s="3" t="n">
        <v>0.5348688235174953</v>
      </c>
      <c r="J886" t="n">
        <v>4782</v>
      </c>
      <c r="K886">
        <f>IF(IFERROR(INDEX(Spots!$K$2:$K$96,MATCH(A886,Spots!$A$2:$A$96,0)),"")="","",IFERROR(INDEX(Spots!$K$2:$K$96,MATCH(A886,Spots!$A$2:$A$96,0)),""))</f>
        <v/>
      </c>
      <c r="L886" s="3">
        <f>IF(OR(K886="",F886=""),"",F886/1000*K886*100)</f>
        <v/>
      </c>
      <c r="M886">
        <f>IF(OR(L886="",L886=0),"",ROUND(100/L886,0))</f>
        <v/>
      </c>
      <c r="N886" t="inlineStr"/>
    </row>
    <row r="887">
      <c r="A887" t="n">
        <v>120</v>
      </c>
      <c r="B887" t="inlineStr">
        <is>
          <t>Primal Giant Post</t>
        </is>
      </c>
      <c r="C887" t="inlineStr">
        <is>
          <t>Corrupted Breath</t>
        </is>
      </c>
      <c r="D887" t="n">
        <v>4.147673</v>
      </c>
      <c r="E887" t="n">
        <v>9178.5</v>
      </c>
      <c r="F887" s="3" t="n">
        <v>0.4518900691834178</v>
      </c>
      <c r="G887" t="n">
        <v>2213</v>
      </c>
      <c r="H887" s="3" t="n">
        <v>0.4382549600654836</v>
      </c>
      <c r="I887" s="3" t="n">
        <v>0.4658415154775652</v>
      </c>
      <c r="J887" t="n">
        <v>4156.3</v>
      </c>
      <c r="K887">
        <f>IF(IFERROR(INDEX(Spots!$K$2:$K$96,MATCH(A887,Spots!$A$2:$A$96,0)),"")="","",IFERROR(INDEX(Spots!$K$2:$K$96,MATCH(A887,Spots!$A$2:$A$96,0)),""))</f>
        <v/>
      </c>
      <c r="L887" s="3">
        <f>IF(OR(K887="",F887=""),"",F887/1000*K887*100)</f>
        <v/>
      </c>
      <c r="M887">
        <f>IF(OR(L887="",L887=0),"",ROUND(100/L887,0))</f>
        <v/>
      </c>
      <c r="N887" t="inlineStr"/>
    </row>
    <row r="888">
      <c r="A888" t="n">
        <v>120</v>
      </c>
      <c r="B888" t="inlineStr">
        <is>
          <t>Primal Giant Post</t>
        </is>
      </c>
      <c r="C888" t="inlineStr">
        <is>
          <t>Trace of Nature</t>
        </is>
      </c>
      <c r="D888" t="n">
        <v>3.782551</v>
      </c>
      <c r="E888" t="n">
        <v>9178.5</v>
      </c>
      <c r="F888" s="3" t="n">
        <v>0.4121099308165823</v>
      </c>
      <c r="G888" t="n">
        <v>2427</v>
      </c>
      <c r="H888" s="3" t="n">
        <v>0.3990934594901288</v>
      </c>
      <c r="I888" s="3" t="n">
        <v>0.4254428167069157</v>
      </c>
      <c r="J888" t="n">
        <v>3790.4</v>
      </c>
      <c r="K888">
        <f>IF(IFERROR(INDEX(Spots!$K$2:$K$96,MATCH(A888,Spots!$A$2:$A$96,0)),"")="","",IFERROR(INDEX(Spots!$K$2:$K$96,MATCH(A888,Spots!$A$2:$A$96,0)),""))</f>
        <v/>
      </c>
      <c r="L888" s="3">
        <f>IF(OR(K888="",F888=""),"",F888/1000*K888*100)</f>
        <v/>
      </c>
      <c r="M888">
        <f>IF(OR(L888="",L888=0),"",ROUND(100/L888,0))</f>
        <v/>
      </c>
      <c r="N888" t="inlineStr"/>
    </row>
    <row r="889">
      <c r="A889" t="n">
        <v>120</v>
      </c>
      <c r="B889" t="inlineStr">
        <is>
          <t>Primal Giant Post</t>
        </is>
      </c>
      <c r="C889" t="inlineStr">
        <is>
          <t>Crystallized Despair</t>
        </is>
      </c>
      <c r="D889" t="n">
        <v>2.168613</v>
      </c>
      <c r="E889" t="n">
        <v>9178.5</v>
      </c>
      <c r="F889" s="3" t="n">
        <v>0.2362709593070763</v>
      </c>
      <c r="G889" t="n">
        <v>4232</v>
      </c>
      <c r="H889" s="3" t="n">
        <v>0.2264403183174044</v>
      </c>
      <c r="I889" s="3" t="n">
        <v>0.2464185652684422</v>
      </c>
      <c r="J889" t="n">
        <v>2173.1</v>
      </c>
      <c r="K889">
        <f>IF(IFERROR(INDEX(Spots!$K$2:$K$96,MATCH(A889,Spots!$A$2:$A$96,0)),"")="","",IFERROR(INDEX(Spots!$K$2:$K$96,MATCH(A889,Spots!$A$2:$A$96,0)),""))</f>
        <v/>
      </c>
      <c r="L889" s="3">
        <f>IF(OR(K889="",F889=""),"",F889/1000*K889*100)</f>
        <v/>
      </c>
      <c r="M889">
        <f>IF(OR(L889="",L889=0),"",ROUND(100/L889,0))</f>
        <v/>
      </c>
      <c r="N889" t="inlineStr"/>
    </row>
    <row r="890">
      <c r="A890" t="n">
        <v>120</v>
      </c>
      <c r="B890" t="inlineStr">
        <is>
          <t>Primal Giant Post</t>
        </is>
      </c>
      <c r="C890" t="inlineStr">
        <is>
          <t>Scorching Sun Shard</t>
        </is>
      </c>
      <c r="D890" t="n">
        <v>1.487021</v>
      </c>
      <c r="E890" t="n">
        <v>9178.5</v>
      </c>
      <c r="F890" s="3" t="n">
        <v>0.1620113308274772</v>
      </c>
      <c r="G890" t="n">
        <v>6172</v>
      </c>
      <c r="H890" s="3" t="n">
        <v>0.153888704262789</v>
      </c>
      <c r="I890" s="3" t="n">
        <v>0.1704513919615801</v>
      </c>
      <c r="J890" t="n">
        <v>1490.1</v>
      </c>
      <c r="K890">
        <f>IF(IFERROR(INDEX(Spots!$K$2:$K$96,MATCH(A890,Spots!$A$2:$A$96,0)),"")="","",IFERROR(INDEX(Spots!$K$2:$K$96,MATCH(A890,Spots!$A$2:$A$96,0)),""))</f>
        <v/>
      </c>
      <c r="L890" s="3">
        <f>IF(OR(K890="",F890=""),"",F890/1000*K890*100)</f>
        <v/>
      </c>
      <c r="M890">
        <f>IF(OR(L890="",L890=0),"",ROUND(100/L890,0))</f>
        <v/>
      </c>
      <c r="N890" t="inlineStr"/>
    </row>
    <row r="891">
      <c r="A891" t="n">
        <v>120</v>
      </c>
      <c r="B891" t="inlineStr">
        <is>
          <t>Primal Giant Post</t>
        </is>
      </c>
      <c r="C891" t="inlineStr">
        <is>
          <t>Mass of Pure Magic</t>
        </is>
      </c>
      <c r="D891" t="n">
        <v>0.62172082</v>
      </c>
      <c r="E891" t="n">
        <v>9178.5</v>
      </c>
      <c r="F891" s="3" t="n">
        <v>0.06773664760037043</v>
      </c>
      <c r="G891" t="n">
        <v>14763</v>
      </c>
      <c r="H891" s="3" t="n">
        <v>0.06252129280424845</v>
      </c>
      <c r="I891" s="3" t="n">
        <v>0.0732709233196487</v>
      </c>
      <c r="J891" t="n">
        <v>623</v>
      </c>
      <c r="K891">
        <f>IF(IFERROR(INDEX(Spots!$K$2:$K$96,MATCH(A891,Spots!$A$2:$A$96,0)),"")="","",IFERROR(INDEX(Spots!$K$2:$K$96,MATCH(A891,Spots!$A$2:$A$96,0)),""))</f>
        <v/>
      </c>
      <c r="L891" s="3">
        <f>IF(OR(K891="",F891=""),"",F891/1000*K891*100)</f>
        <v/>
      </c>
      <c r="M891">
        <f>IF(OR(L891="",L891=0),"",ROUND(100/L891,0))</f>
        <v/>
      </c>
      <c r="N891" t="inlineStr"/>
    </row>
    <row r="892">
      <c r="A892" t="n">
        <v>120</v>
      </c>
      <c r="B892" t="inlineStr">
        <is>
          <t>Primal Giant Post</t>
        </is>
      </c>
      <c r="C892" t="inlineStr">
        <is>
          <t>Black Distortion Earring</t>
        </is>
      </c>
      <c r="D892" t="n">
        <v>0.2576819</v>
      </c>
      <c r="E892" t="n">
        <v>9178.5</v>
      </c>
      <c r="F892" s="3" t="n">
        <v>0.02807451108568938</v>
      </c>
      <c r="G892" t="n">
        <v>35619</v>
      </c>
      <c r="H892" s="3" t="n">
        <v>0.02475418896962614</v>
      </c>
      <c r="I892" s="3" t="n">
        <v>0.03171606107597898</v>
      </c>
      <c r="J892" t="n">
        <v>258.2</v>
      </c>
      <c r="K892">
        <f>IF(IFERROR(INDEX(Spots!$K$2:$K$96,MATCH(A892,Spots!$A$2:$A$96,0)),"")="","",IFERROR(INDEX(Spots!$K$2:$K$96,MATCH(A892,Spots!$A$2:$A$96,0)),""))</f>
        <v/>
      </c>
      <c r="L892" s="3">
        <f>IF(OR(K892="",F892=""),"",F892/1000*K892*100)</f>
        <v/>
      </c>
      <c r="M892">
        <f>IF(OR(L892="",L892=0),"",ROUND(100/L892,0))</f>
        <v/>
      </c>
      <c r="N892" t="inlineStr"/>
    </row>
    <row r="893">
      <c r="A893" t="n">
        <v>120</v>
      </c>
      <c r="B893" t="inlineStr">
        <is>
          <t>Primal Giant Post</t>
        </is>
      </c>
      <c r="C893" t="inlineStr">
        <is>
          <t>Ancient Spirit Light</t>
        </is>
      </c>
      <c r="D893" t="n">
        <v>0.03946578</v>
      </c>
      <c r="E893" t="n">
        <v>9178.5</v>
      </c>
      <c r="F893" s="3" t="n">
        <v>0.004299807158032358</v>
      </c>
      <c r="G893" t="n">
        <v>232569</v>
      </c>
      <c r="H893" s="3" t="n">
        <v>0.003065081940752098</v>
      </c>
      <c r="I893" s="3" t="n">
        <v>0.00586552107006414</v>
      </c>
      <c r="J893" t="n">
        <v>39.5</v>
      </c>
      <c r="K893">
        <f>IF(IFERROR(INDEX(Spots!$K$2:$K$96,MATCH(A893,Spots!$A$2:$A$96,0)),"")="","",IFERROR(INDEX(Spots!$K$2:$K$96,MATCH(A893,Spots!$A$2:$A$96,0)),""))</f>
        <v/>
      </c>
      <c r="L893" s="3">
        <f>IF(OR(K893="",F893=""),"",F893/1000*K893*100)</f>
        <v/>
      </c>
      <c r="M893">
        <f>IF(OR(L893="",L893=0),"",ROUND(100/L893,0))</f>
        <v/>
      </c>
      <c r="N893" t="inlineStr"/>
    </row>
    <row r="894">
      <c r="A894" t="n">
        <v>120</v>
      </c>
      <c r="B894" t="inlineStr">
        <is>
          <t>Primal Giant Post</t>
        </is>
      </c>
      <c r="C894" t="inlineStr">
        <is>
          <t>Blessed Soul Fragment</t>
        </is>
      </c>
      <c r="D894" t="n">
        <v>0</v>
      </c>
      <c r="E894" t="n">
        <v>9178.5</v>
      </c>
      <c r="F894" s="3" t="n">
        <v>0</v>
      </c>
      <c r="H894" s="3" t="n">
        <v>0</v>
      </c>
      <c r="I894" s="3" t="n">
        <v>0.0004010819372806626</v>
      </c>
      <c r="J894" t="n">
        <v>0</v>
      </c>
      <c r="K894">
        <f>IF(IFERROR(INDEX(Spots!$K$2:$K$96,MATCH(A894,Spots!$A$2:$A$96,0)),"")="","",IFERROR(INDEX(Spots!$K$2:$K$96,MATCH(A894,Spots!$A$2:$A$96,0)),""))</f>
        <v/>
      </c>
      <c r="L894" s="3">
        <f>IF(OR(K894="",F894=""),"",F894/1000*K894*100)</f>
        <v/>
      </c>
      <c r="M894">
        <f>IF(OR(L894="",L894=0),"",ROUND(100/L894,0))</f>
        <v/>
      </c>
      <c r="N894" t="inlineStr">
        <is>
          <t>no drops recorded</t>
        </is>
      </c>
    </row>
    <row r="895">
      <c r="A895" t="n">
        <v>37</v>
      </c>
      <c r="B895" t="inlineStr">
        <is>
          <t>Protty Cave</t>
        </is>
      </c>
      <c r="C895" t="inlineStr">
        <is>
          <t>Black Stone Possessed Seaweed</t>
        </is>
      </c>
      <c r="D895" t="n">
        <v>288.37</v>
      </c>
      <c r="E895" t="n">
        <v>7523.7</v>
      </c>
      <c r="F895" s="3" t="n">
        <v>38.32821617023539</v>
      </c>
      <c r="G895" t="n">
        <v>26</v>
      </c>
      <c r="H895" s="3" t="n">
        <v>37.38616224901238</v>
      </c>
      <c r="I895" s="3" t="n">
        <v>39.28800582014314</v>
      </c>
      <c r="J895" t="n">
        <v>6281.7</v>
      </c>
      <c r="K895">
        <f>IF(IFERROR(INDEX(Spots!$K$2:$K$96,MATCH(A895,Spots!$A$2:$A$96,0)),"")="","",IFERROR(INDEX(Spots!$K$2:$K$96,MATCH(A895,Spots!$A$2:$A$96,0)),""))</f>
        <v/>
      </c>
      <c r="L895" s="3">
        <f>IF(OR(K895="",F895=""),"",F895/1000*K895*100)</f>
        <v/>
      </c>
      <c r="M895">
        <f>IF(OR(L895="",L895=0),"",ROUND(100/L895,0))</f>
        <v/>
      </c>
      <c r="N895" t="inlineStr">
        <is>
          <t>low sample</t>
        </is>
      </c>
    </row>
    <row r="896">
      <c r="A896" t="n">
        <v>37</v>
      </c>
      <c r="B896" t="inlineStr">
        <is>
          <t>Protty Cave</t>
        </is>
      </c>
      <c r="C896" t="inlineStr">
        <is>
          <t>Black Stone</t>
        </is>
      </c>
      <c r="D896" t="n">
        <v>16.906</v>
      </c>
      <c r="E896" t="n">
        <v>7523.7</v>
      </c>
      <c r="F896" s="3" t="n">
        <v>2.247032709969829</v>
      </c>
      <c r="G896" t="n">
        <v>445</v>
      </c>
      <c r="H896" s="3" t="n">
        <v>2.023360112372341</v>
      </c>
      <c r="I896" s="3" t="n">
        <v>2.488673763589444</v>
      </c>
      <c r="J896" t="n">
        <v>368.3</v>
      </c>
      <c r="K896">
        <f>IF(IFERROR(INDEX(Spots!$K$2:$K$96,MATCH(A896,Spots!$A$2:$A$96,0)),"")="","",IFERROR(INDEX(Spots!$K$2:$K$96,MATCH(A896,Spots!$A$2:$A$96,0)),""))</f>
        <v/>
      </c>
      <c r="L896" s="3">
        <f>IF(OR(K896="",F896=""),"",F896/1000*K896*100)</f>
        <v/>
      </c>
      <c r="M896">
        <f>IF(OR(L896="",L896=0),"",ROUND(100/L896,0))</f>
        <v/>
      </c>
      <c r="N896" t="inlineStr">
        <is>
          <t>low sample</t>
        </is>
      </c>
    </row>
    <row r="897">
      <c r="A897" t="n">
        <v>37</v>
      </c>
      <c r="B897" t="inlineStr">
        <is>
          <t>Protty Cave</t>
        </is>
      </c>
      <c r="C897" t="inlineStr">
        <is>
          <t>Ancient Spirit Dust</t>
        </is>
      </c>
      <c r="D897" t="n">
        <v>9.493122</v>
      </c>
      <c r="E897" t="n">
        <v>7523.7</v>
      </c>
      <c r="F897" s="3" t="n">
        <v>1.261762430718928</v>
      </c>
      <c r="G897" t="n">
        <v>793</v>
      </c>
      <c r="H897" s="3" t="n">
        <v>1.09562954717385</v>
      </c>
      <c r="I897" s="3" t="n">
        <v>1.445965084431177</v>
      </c>
      <c r="J897" t="n">
        <v>206.8</v>
      </c>
      <c r="K897">
        <f>IF(IFERROR(INDEX(Spots!$K$2:$K$96,MATCH(A897,Spots!$A$2:$A$96,0)),"")="","",IFERROR(INDEX(Spots!$K$2:$K$96,MATCH(A897,Spots!$A$2:$A$96,0)),""))</f>
        <v/>
      </c>
      <c r="L897" s="3">
        <f>IF(OR(K897="",F897=""),"",F897/1000*K897*100)</f>
        <v/>
      </c>
      <c r="M897">
        <f>IF(OR(L897="",L897=0),"",ROUND(100/L897,0))</f>
        <v/>
      </c>
      <c r="N897" t="inlineStr">
        <is>
          <t>low sample</t>
        </is>
      </c>
    </row>
    <row r="898">
      <c r="A898" t="n">
        <v>37</v>
      </c>
      <c r="B898" t="inlineStr">
        <is>
          <t>Protty Cave</t>
        </is>
      </c>
      <c r="C898" t="inlineStr">
        <is>
          <t>Caphras Stone</t>
        </is>
      </c>
      <c r="D898" t="n">
        <v>4.929656</v>
      </c>
      <c r="E898" t="n">
        <v>7523.7</v>
      </c>
      <c r="F898" s="3" t="n">
        <v>0.6552169810066856</v>
      </c>
      <c r="G898" t="n">
        <v>1526</v>
      </c>
      <c r="H898" s="3" t="n">
        <v>0.537154195273194</v>
      </c>
      <c r="I898" s="3" t="n">
        <v>0.7915044696101038</v>
      </c>
      <c r="J898" t="n">
        <v>107.4</v>
      </c>
      <c r="K898">
        <f>IF(IFERROR(INDEX(Spots!$K$2:$K$96,MATCH(A898,Spots!$A$2:$A$96,0)),"")="","",IFERROR(INDEX(Spots!$K$2:$K$96,MATCH(A898,Spots!$A$2:$A$96,0)),""))</f>
        <v/>
      </c>
      <c r="L898" s="3">
        <f>IF(OR(K898="",F898=""),"",F898/1000*K898*100)</f>
        <v/>
      </c>
      <c r="M898">
        <f>IF(OR(L898="",L898=0),"",ROUND(100/L898,0))</f>
        <v/>
      </c>
      <c r="N898" t="inlineStr">
        <is>
          <t>low sample</t>
        </is>
      </c>
    </row>
    <row r="899">
      <c r="A899" t="n">
        <v>37</v>
      </c>
      <c r="B899" t="inlineStr">
        <is>
          <t>Protty Cave</t>
        </is>
      </c>
      <c r="C899" t="inlineStr">
        <is>
          <t>Trace of Nature</t>
        </is>
      </c>
      <c r="D899" t="n">
        <v>4.679473</v>
      </c>
      <c r="E899" t="n">
        <v>7523.7</v>
      </c>
      <c r="F899" s="3" t="n">
        <v>0.6219643260629742</v>
      </c>
      <c r="G899" t="n">
        <v>1608</v>
      </c>
      <c r="H899" s="3" t="n">
        <v>0.5070893082855071</v>
      </c>
      <c r="I899" s="3" t="n">
        <v>0.7550785634467051</v>
      </c>
      <c r="J899" t="n">
        <v>101.9</v>
      </c>
      <c r="K899">
        <f>IF(IFERROR(INDEX(Spots!$K$2:$K$96,MATCH(A899,Spots!$A$2:$A$96,0)),"")="","",IFERROR(INDEX(Spots!$K$2:$K$96,MATCH(A899,Spots!$A$2:$A$96,0)),""))</f>
        <v/>
      </c>
      <c r="L899" s="3">
        <f>IF(OR(K899="",F899=""),"",F899/1000*K899*100)</f>
        <v/>
      </c>
      <c r="M899">
        <f>IF(OR(L899="",L899=0),"",ROUND(100/L899,0))</f>
        <v/>
      </c>
      <c r="N899" t="inlineStr">
        <is>
          <t>low sample</t>
        </is>
      </c>
    </row>
    <row r="900">
      <c r="A900" t="n">
        <v>37</v>
      </c>
      <c r="B900" t="inlineStr">
        <is>
          <t>Protty Cave</t>
        </is>
      </c>
      <c r="C900" t="inlineStr">
        <is>
          <t>Abyssal Essence</t>
        </is>
      </c>
      <c r="D900" t="n">
        <v>4.638792</v>
      </c>
      <c r="E900" t="n">
        <v>7523.7</v>
      </c>
      <c r="F900" s="3" t="n">
        <v>0.6165572789983651</v>
      </c>
      <c r="G900" t="n">
        <v>1622</v>
      </c>
      <c r="H900" s="3" t="n">
        <v>0.5022086024021153</v>
      </c>
      <c r="I900" s="3" t="n">
        <v>0.7491476440587754</v>
      </c>
      <c r="J900" t="n">
        <v>101</v>
      </c>
      <c r="K900">
        <f>IF(IFERROR(INDEX(Spots!$K$2:$K$96,MATCH(A900,Spots!$A$2:$A$96,0)),"")="","",IFERROR(INDEX(Spots!$K$2:$K$96,MATCH(A900,Spots!$A$2:$A$96,0)),""))</f>
        <v/>
      </c>
      <c r="L900" s="3">
        <f>IF(OR(K900="",F900=""),"",F900/1000*K900*100)</f>
        <v/>
      </c>
      <c r="M900">
        <f>IF(OR(L900="",L900=0),"",ROUND(100/L900,0))</f>
        <v/>
      </c>
      <c r="N900" t="inlineStr">
        <is>
          <t>low sample</t>
        </is>
      </c>
    </row>
    <row r="901">
      <c r="A901" t="n">
        <v>37</v>
      </c>
      <c r="B901" t="inlineStr">
        <is>
          <t>Protty Cave</t>
        </is>
      </c>
      <c r="C901" t="inlineStr">
        <is>
          <t>Fragment of the Deep Sea</t>
        </is>
      </c>
      <c r="D901" t="n">
        <v>2.521945</v>
      </c>
      <c r="E901" t="n">
        <v>7523.7</v>
      </c>
      <c r="F901" s="3" t="n">
        <v>0.3352001010141287</v>
      </c>
      <c r="G901" t="n">
        <v>2983</v>
      </c>
      <c r="H901" s="3" t="n">
        <v>0.252456372734398</v>
      </c>
      <c r="I901" s="3" t="n">
        <v>0.4363854068736745</v>
      </c>
      <c r="J901" t="n">
        <v>54.9</v>
      </c>
      <c r="K901">
        <f>IF(IFERROR(INDEX(Spots!$K$2:$K$96,MATCH(A901,Spots!$A$2:$A$96,0)),"")="","",IFERROR(INDEX(Spots!$K$2:$K$96,MATCH(A901,Spots!$A$2:$A$96,0)),""))</f>
        <v/>
      </c>
      <c r="L901" s="3">
        <f>IF(OR(K901="",F901=""),"",F901/1000*K901*100)</f>
        <v/>
      </c>
      <c r="M901">
        <f>IF(OR(L901="",L901=0),"",ROUND(100/L901,0))</f>
        <v/>
      </c>
      <c r="N901" t="inlineStr">
        <is>
          <t>low sample</t>
        </is>
      </c>
    </row>
    <row r="902">
      <c r="A902" t="n">
        <v>37</v>
      </c>
      <c r="B902" t="inlineStr">
        <is>
          <t>Protty Cave</t>
        </is>
      </c>
      <c r="C902" t="inlineStr">
        <is>
          <t>Mass of Pure Magic</t>
        </is>
      </c>
      <c r="D902" t="n">
        <v>0.94591878</v>
      </c>
      <c r="E902" t="n">
        <v>7523.7</v>
      </c>
      <c r="F902" s="3" t="n">
        <v>0.1257252123290402</v>
      </c>
      <c r="G902" t="n">
        <v>7954</v>
      </c>
      <c r="H902" s="3" t="n">
        <v>0.07739631177365085</v>
      </c>
      <c r="I902" s="3" t="n">
        <v>0.1929601845219849</v>
      </c>
      <c r="J902" t="n">
        <v>20.6</v>
      </c>
      <c r="K902">
        <f>IF(IFERROR(INDEX(Spots!$K$2:$K$96,MATCH(A902,Spots!$A$2:$A$96,0)),"")="","",IFERROR(INDEX(Spots!$K$2:$K$96,MATCH(A902,Spots!$A$2:$A$96,0)),""))</f>
        <v/>
      </c>
      <c r="L902" s="3">
        <f>IF(OR(K902="",F902=""),"",F902/1000*K902*100)</f>
        <v/>
      </c>
      <c r="M902">
        <f>IF(OR(L902="",L902=0),"",ROUND(100/L902,0))</f>
        <v/>
      </c>
      <c r="N902" t="inlineStr">
        <is>
          <t>low sample</t>
        </is>
      </c>
    </row>
    <row r="903">
      <c r="A903" t="n">
        <v>37</v>
      </c>
      <c r="B903" t="inlineStr">
        <is>
          <t>Protty Cave</t>
        </is>
      </c>
      <c r="C903" t="inlineStr">
        <is>
          <t>Atanis' Element</t>
        </is>
      </c>
      <c r="D903" t="n">
        <v>0.78871051</v>
      </c>
      <c r="E903" t="n">
        <v>7523.7</v>
      </c>
      <c r="F903" s="3" t="n">
        <v>0.104830138096947</v>
      </c>
      <c r="G903" t="n">
        <v>9539</v>
      </c>
      <c r="H903" s="3" t="n">
        <v>0.06123048250466588</v>
      </c>
      <c r="I903" s="3" t="n">
        <v>0.1674460053018468</v>
      </c>
      <c r="J903" t="n">
        <v>17.2</v>
      </c>
      <c r="K903">
        <f>IF(IFERROR(INDEX(Spots!$K$2:$K$96,MATCH(A903,Spots!$A$2:$A$96,0)),"")="","",IFERROR(INDEX(Spots!$K$2:$K$96,MATCH(A903,Spots!$A$2:$A$96,0)),""))</f>
        <v/>
      </c>
      <c r="L903" s="3">
        <f>IF(OR(K903="",F903=""),"",F903/1000*K903*100)</f>
        <v/>
      </c>
      <c r="M903">
        <f>IF(OR(L903="",L903=0),"",ROUND(100/L903,0))</f>
        <v/>
      </c>
      <c r="N903" t="inlineStr">
        <is>
          <t>low sample</t>
        </is>
      </c>
    </row>
    <row r="904">
      <c r="A904" t="n">
        <v>37</v>
      </c>
      <c r="B904" t="inlineStr">
        <is>
          <t>Protty Cave</t>
        </is>
      </c>
      <c r="C904" t="inlineStr">
        <is>
          <t>Rainbow Coral Ring</t>
        </is>
      </c>
      <c r="D904" t="n">
        <v>0.51446998</v>
      </c>
      <c r="E904" t="n">
        <v>7523.7</v>
      </c>
      <c r="F904" s="3" t="n">
        <v>0.06837991679625716</v>
      </c>
      <c r="G904" t="n">
        <v>14624</v>
      </c>
      <c r="H904" s="3" t="n">
        <v>0.03434839337873311</v>
      </c>
      <c r="I904" s="3" t="n">
        <v>0.1217214041803221</v>
      </c>
      <c r="J904" t="n">
        <v>11.2</v>
      </c>
      <c r="K904">
        <f>IF(IFERROR(INDEX(Spots!$K$2:$K$96,MATCH(A904,Spots!$A$2:$A$96,0)),"")="","",IFERROR(INDEX(Spots!$K$2:$K$96,MATCH(A904,Spots!$A$2:$A$96,0)),""))</f>
        <v/>
      </c>
      <c r="L904" s="3">
        <f>IF(OR(K904="",F904=""),"",F904/1000*K904*100)</f>
        <v/>
      </c>
      <c r="M904">
        <f>IF(OR(L904="",L904=0),"",ROUND(100/L904,0))</f>
        <v/>
      </c>
      <c r="N904" t="inlineStr">
        <is>
          <t>low sample</t>
        </is>
      </c>
    </row>
    <row r="905">
      <c r="A905" t="n">
        <v>37</v>
      </c>
      <c r="B905" t="inlineStr">
        <is>
          <t>Protty Cave</t>
        </is>
      </c>
      <c r="C905" t="inlineStr">
        <is>
          <t>Imperfect Lightstone of Fire</t>
        </is>
      </c>
      <c r="D905" t="n">
        <v>0.27463428</v>
      </c>
      <c r="E905" t="n">
        <v>7523.7</v>
      </c>
      <c r="F905" s="3" t="n">
        <v>0.03650255592328243</v>
      </c>
      <c r="G905" t="n">
        <v>27395</v>
      </c>
      <c r="H905" s="3" t="n">
        <v>0.01330426126738943</v>
      </c>
      <c r="I905" s="3" t="n">
        <v>0.07953891435320426</v>
      </c>
      <c r="J905" t="n">
        <v>6</v>
      </c>
      <c r="K905">
        <f>IF(IFERROR(INDEX(Spots!$K$2:$K$96,MATCH(A905,Spots!$A$2:$A$96,0)),"")="","",IFERROR(INDEX(Spots!$K$2:$K$96,MATCH(A905,Spots!$A$2:$A$96,0)),""))</f>
        <v/>
      </c>
      <c r="L905" s="3">
        <f>IF(OR(K905="",F905=""),"",F905/1000*K905*100)</f>
        <v/>
      </c>
      <c r="M905">
        <f>IF(OR(L905="",L905=0),"",ROUND(100/L905,0))</f>
        <v/>
      </c>
      <c r="N905" t="inlineStr">
        <is>
          <t>low sample</t>
        </is>
      </c>
    </row>
    <row r="906">
      <c r="A906" t="n">
        <v>37</v>
      </c>
      <c r="B906" t="inlineStr">
        <is>
          <t>Protty Cave</t>
        </is>
      </c>
      <c r="C906" t="inlineStr">
        <is>
          <t>Tungrad Ring</t>
        </is>
      </c>
      <c r="D906" t="n">
        <v>0.1451535</v>
      </c>
      <c r="E906" t="n">
        <v>7523.7</v>
      </c>
      <c r="F906" s="3" t="n">
        <v>0.0192928346425296</v>
      </c>
      <c r="G906" t="n">
        <v>51833</v>
      </c>
      <c r="H906" s="3" t="n">
        <v>0.004114200403490942</v>
      </c>
      <c r="I906" s="3" t="n">
        <v>0.05496549605101274</v>
      </c>
      <c r="J906" t="n">
        <v>3.2</v>
      </c>
      <c r="K906">
        <f>IF(IFERROR(INDEX(Spots!$K$2:$K$96,MATCH(A906,Spots!$A$2:$A$96,0)),"")="","",IFERROR(INDEX(Spots!$K$2:$K$96,MATCH(A906,Spots!$A$2:$A$96,0)),""))</f>
        <v/>
      </c>
      <c r="L906" s="3">
        <f>IF(OR(K906="",F906=""),"",F906/1000*K906*100)</f>
        <v/>
      </c>
      <c r="M906">
        <f>IF(OR(L906="",L906=0),"",ROUND(100/L906,0))</f>
        <v/>
      </c>
      <c r="N906" t="inlineStr">
        <is>
          <t>low sample</t>
        </is>
      </c>
    </row>
    <row r="907">
      <c r="A907" t="n">
        <v>37</v>
      </c>
      <c r="B907" t="inlineStr">
        <is>
          <t>Protty Cave</t>
        </is>
      </c>
      <c r="C907" t="inlineStr">
        <is>
          <t>Imperfect Lightstone of Earth</t>
        </is>
      </c>
      <c r="D907" t="n">
        <v>0.1334361</v>
      </c>
      <c r="E907" t="n">
        <v>7523.7</v>
      </c>
      <c r="F907" s="3" t="n">
        <v>0.01773543602216994</v>
      </c>
      <c r="G907" t="n">
        <v>56384</v>
      </c>
      <c r="H907" s="3" t="n">
        <v>0.003434769529104217</v>
      </c>
      <c r="I907" s="3" t="n">
        <v>0.05262464765806051</v>
      </c>
      <c r="J907" t="n">
        <v>2.9</v>
      </c>
      <c r="K907">
        <f>IF(IFERROR(INDEX(Spots!$K$2:$K$96,MATCH(A907,Spots!$A$2:$A$96,0)),"")="","",IFERROR(INDEX(Spots!$K$2:$K$96,MATCH(A907,Spots!$A$2:$A$96,0)),""))</f>
        <v/>
      </c>
      <c r="L907" s="3">
        <f>IF(OR(K907="",F907=""),"",F907/1000*K907*100)</f>
        <v/>
      </c>
      <c r="M907">
        <f>IF(OR(L907="",L907=0),"",ROUND(100/L907,0))</f>
        <v/>
      </c>
      <c r="N907" t="inlineStr">
        <is>
          <t>low sample</t>
        </is>
      </c>
    </row>
    <row r="908">
      <c r="A908" t="n">
        <v>37</v>
      </c>
      <c r="B908" t="inlineStr">
        <is>
          <t>Protty Cave</t>
        </is>
      </c>
      <c r="C908" t="inlineStr">
        <is>
          <t>Any Artifact</t>
        </is>
      </c>
      <c r="D908" t="n">
        <v>0.11270736</v>
      </c>
      <c r="E908" t="n">
        <v>7523.7</v>
      </c>
      <c r="F908" s="3" t="n">
        <v>0.01498031021970573</v>
      </c>
      <c r="G908" t="n">
        <v>66754</v>
      </c>
      <c r="H908" s="3" t="n">
        <v>0.00232990561832546</v>
      </c>
      <c r="I908" s="3" t="n">
        <v>0.04841314731776662</v>
      </c>
      <c r="J908" t="n">
        <v>2.5</v>
      </c>
      <c r="K908">
        <f>IF(IFERROR(INDEX(Spots!$K$2:$K$96,MATCH(A908,Spots!$A$2:$A$96,0)),"")="","",IFERROR(INDEX(Spots!$K$2:$K$96,MATCH(A908,Spots!$A$2:$A$96,0)),""))</f>
        <v/>
      </c>
      <c r="L908" s="3">
        <f>IF(OR(K908="",F908=""),"",F908/1000*K908*100)</f>
        <v/>
      </c>
      <c r="M908">
        <f>IF(OR(L908="",L908=0),"",ROUND(100/L908,0))</f>
        <v/>
      </c>
      <c r="N908" t="inlineStr">
        <is>
          <t>low sample</t>
        </is>
      </c>
    </row>
    <row r="909">
      <c r="A909" t="n">
        <v>37</v>
      </c>
      <c r="B909" t="inlineStr">
        <is>
          <t>Protty Cave</t>
        </is>
      </c>
      <c r="C909" t="inlineStr">
        <is>
          <t>Specter's Energy</t>
        </is>
      </c>
      <c r="D909" t="n">
        <v>0.06175487</v>
      </c>
      <c r="E909" t="n">
        <v>7523.7</v>
      </c>
      <c r="F909" s="3" t="n">
        <v>0.008208045243696586</v>
      </c>
      <c r="G909" t="n">
        <v>121832</v>
      </c>
      <c r="H909" s="3" t="n">
        <v>0.000364454335357762</v>
      </c>
      <c r="I909" s="3" t="n">
        <v>0.03754498995021121</v>
      </c>
      <c r="J909" t="n">
        <v>1.3</v>
      </c>
      <c r="K909">
        <f>IF(IFERROR(INDEX(Spots!$K$2:$K$96,MATCH(A909,Spots!$A$2:$A$96,0)),"")="","",IFERROR(INDEX(Spots!$K$2:$K$96,MATCH(A909,Spots!$A$2:$A$96,0)),""))</f>
        <v/>
      </c>
      <c r="L909" s="3">
        <f>IF(OR(K909="",F909=""),"",F909/1000*K909*100)</f>
        <v/>
      </c>
      <c r="M909">
        <f>IF(OR(L909="",L909=0),"",ROUND(100/L909,0))</f>
        <v/>
      </c>
      <c r="N909" t="inlineStr">
        <is>
          <t>low sample</t>
        </is>
      </c>
    </row>
    <row r="910">
      <c r="A910" t="n">
        <v>37</v>
      </c>
      <c r="B910" t="inlineStr">
        <is>
          <t>Protty Cave</t>
        </is>
      </c>
      <c r="C910" t="inlineStr">
        <is>
          <t>Imperfect Lightstone of Wind</t>
        </is>
      </c>
      <c r="D910" t="n">
        <v>0.03841598</v>
      </c>
      <c r="E910" t="n">
        <v>7523.7</v>
      </c>
      <c r="F910" s="3" t="n">
        <v>0.005105995720190864</v>
      </c>
      <c r="G910" t="n">
        <v>195848</v>
      </c>
      <c r="H910" s="3" t="n">
        <v>1.829780424665445e-05</v>
      </c>
      <c r="I910" s="3" t="n">
        <v>0.03219706035250894</v>
      </c>
      <c r="J910" t="n">
        <v>0.8</v>
      </c>
      <c r="K910">
        <f>IF(IFERROR(INDEX(Spots!$K$2:$K$96,MATCH(A910,Spots!$A$2:$A$96,0)),"")="","",IFERROR(INDEX(Spots!$K$2:$K$96,MATCH(A910,Spots!$A$2:$A$96,0)),""))</f>
        <v/>
      </c>
      <c r="L910" s="3">
        <f>IF(OR(K910="",F910=""),"",F910/1000*K910*100)</f>
        <v/>
      </c>
      <c r="M910">
        <f>IF(OR(L910="",L910=0),"",ROUND(100/L910,0))</f>
        <v/>
      </c>
      <c r="N910" t="inlineStr">
        <is>
          <t>low sample</t>
        </is>
      </c>
    </row>
    <row r="911">
      <c r="A911" t="n">
        <v>37</v>
      </c>
      <c r="B911" t="inlineStr">
        <is>
          <t>Protty Cave</t>
        </is>
      </c>
      <c r="C911" t="inlineStr">
        <is>
          <t>Great Marni's Stone (Protty Cave)</t>
        </is>
      </c>
      <c r="D911" t="n">
        <v>0.0064205</v>
      </c>
      <c r="E911" t="n">
        <v>7523.7</v>
      </c>
      <c r="F911" s="3" t="n">
        <v>0.0008533700174116459</v>
      </c>
      <c r="G911" t="n">
        <v>1171825</v>
      </c>
      <c r="H911" s="3" t="n">
        <v>0</v>
      </c>
      <c r="I911" s="3" t="n">
        <v>0.02415856924944325</v>
      </c>
      <c r="J911" t="n">
        <v>0.1</v>
      </c>
      <c r="K911">
        <f>IF(IFERROR(INDEX(Spots!$K$2:$K$96,MATCH(A911,Spots!$A$2:$A$96,0)),"")="","",IFERROR(INDEX(Spots!$K$2:$K$96,MATCH(A911,Spots!$A$2:$A$96,0)),""))</f>
        <v/>
      </c>
      <c r="L911" s="3">
        <f>IF(OR(K911="",F911=""),"",F911/1000*K911*100)</f>
        <v/>
      </c>
      <c r="M911">
        <f>IF(OR(L911="",L911=0),"",ROUND(100/L911,0))</f>
        <v/>
      </c>
      <c r="N911" t="inlineStr">
        <is>
          <t>low sample</t>
        </is>
      </c>
    </row>
    <row r="912">
      <c r="A912" t="n">
        <v>121</v>
      </c>
      <c r="B912" t="inlineStr">
        <is>
          <t>Quint Hill</t>
        </is>
      </c>
      <c r="C912" t="inlineStr">
        <is>
          <t>Tattered Shadow</t>
        </is>
      </c>
      <c r="D912" t="n">
        <v>284.03</v>
      </c>
      <c r="E912" t="n">
        <v>3855.9</v>
      </c>
      <c r="F912" s="3" t="n">
        <v>73.66114266448817</v>
      </c>
      <c r="G912" t="n">
        <v>14</v>
      </c>
      <c r="H912" s="3" t="n">
        <v>73.51157421167554</v>
      </c>
      <c r="I912" s="3" t="n">
        <v>73.81094024392944</v>
      </c>
      <c r="J912" t="n">
        <v>930837.3</v>
      </c>
      <c r="K912">
        <f>IF(IFERROR(INDEX(Spots!$K$2:$K$96,MATCH(A912,Spots!$A$2:$A$96,0)),"")="","",IFERROR(INDEX(Spots!$K$2:$K$96,MATCH(A912,Spots!$A$2:$A$96,0)),""))</f>
        <v/>
      </c>
      <c r="L912" s="3">
        <f>IF(OR(K912="",F912=""),"",F912/1000*K912*100)</f>
        <v/>
      </c>
      <c r="M912">
        <f>IF(OR(L912="",L912=0),"",ROUND(100/L912,0))</f>
        <v/>
      </c>
      <c r="N912" t="inlineStr"/>
    </row>
    <row r="913">
      <c r="A913" t="n">
        <v>121</v>
      </c>
      <c r="B913" t="inlineStr">
        <is>
          <t>Quint Hill</t>
        </is>
      </c>
      <c r="C913" t="inlineStr">
        <is>
          <t>Black Stone</t>
        </is>
      </c>
      <c r="D913" t="n">
        <v>67.509</v>
      </c>
      <c r="E913" t="n">
        <v>3855.9</v>
      </c>
      <c r="F913" s="3" t="n">
        <v>17.50797479187738</v>
      </c>
      <c r="G913" t="n">
        <v>57</v>
      </c>
      <c r="H913" s="3" t="n">
        <v>17.43509455603218</v>
      </c>
      <c r="I913" s="3" t="n">
        <v>17.58108423878775</v>
      </c>
      <c r="J913" t="n">
        <v>221243.9</v>
      </c>
      <c r="K913">
        <f>IF(IFERROR(INDEX(Spots!$K$2:$K$96,MATCH(A913,Spots!$A$2:$A$96,0)),"")="","",IFERROR(INDEX(Spots!$K$2:$K$96,MATCH(A913,Spots!$A$2:$A$96,0)),""))</f>
        <v/>
      </c>
      <c r="L913" s="3">
        <f>IF(OR(K913="",F913=""),"",F913/1000*K913*100)</f>
        <v/>
      </c>
      <c r="M913">
        <f>IF(OR(L913="",L913=0),"",ROUND(100/L913,0))</f>
        <v/>
      </c>
      <c r="N913" t="inlineStr"/>
    </row>
    <row r="914">
      <c r="A914" t="n">
        <v>121</v>
      </c>
      <c r="B914" t="inlineStr">
        <is>
          <t>Quint Hill</t>
        </is>
      </c>
      <c r="C914" t="inlineStr">
        <is>
          <t>Corrupted Breath</t>
        </is>
      </c>
      <c r="D914" t="n">
        <v>7.093548</v>
      </c>
      <c r="E914" t="n">
        <v>3855.9</v>
      </c>
      <c r="F914" s="3" t="n">
        <v>1.839660779584533</v>
      </c>
      <c r="G914" t="n">
        <v>544</v>
      </c>
      <c r="H914" s="3" t="n">
        <v>1.816087116160169</v>
      </c>
      <c r="I914" s="3" t="n">
        <v>1.863463997186756</v>
      </c>
      <c r="J914" t="n">
        <v>23247.3</v>
      </c>
      <c r="K914">
        <f>IF(IFERROR(INDEX(Spots!$K$2:$K$96,MATCH(A914,Spots!$A$2:$A$96,0)),"")="","",IFERROR(INDEX(Spots!$K$2:$K$96,MATCH(A914,Spots!$A$2:$A$96,0)),""))</f>
        <v/>
      </c>
      <c r="L914" s="3">
        <f>IF(OR(K914="",F914=""),"",F914/1000*K914*100)</f>
        <v/>
      </c>
      <c r="M914">
        <f>IF(OR(L914="",L914=0),"",ROUND(100/L914,0))</f>
        <v/>
      </c>
      <c r="N914" t="inlineStr"/>
    </row>
    <row r="915">
      <c r="A915" t="n">
        <v>121</v>
      </c>
      <c r="B915" t="inlineStr">
        <is>
          <t>Quint Hill</t>
        </is>
      </c>
      <c r="C915" t="inlineStr">
        <is>
          <t>Trace of Nature</t>
        </is>
      </c>
      <c r="D915" t="n">
        <v>6.944673</v>
      </c>
      <c r="E915" t="n">
        <v>3855.9</v>
      </c>
      <c r="F915" s="3" t="n">
        <v>1.801051116470863</v>
      </c>
      <c r="G915" t="n">
        <v>555</v>
      </c>
      <c r="H915" s="3" t="n">
        <v>1.777726931971324</v>
      </c>
      <c r="I915" s="3" t="n">
        <v>1.824604860555725</v>
      </c>
      <c r="J915" t="n">
        <v>22759.4</v>
      </c>
      <c r="K915">
        <f>IF(IFERROR(INDEX(Spots!$K$2:$K$96,MATCH(A915,Spots!$A$2:$A$96,0)),"")="","",IFERROR(INDEX(Spots!$K$2:$K$96,MATCH(A915,Spots!$A$2:$A$96,0)),""))</f>
        <v/>
      </c>
      <c r="L915" s="3">
        <f>IF(OR(K915="",F915=""),"",F915/1000*K915*100)</f>
        <v/>
      </c>
      <c r="M915">
        <f>IF(OR(L915="",L915=0),"",ROUND(100/L915,0))</f>
        <v/>
      </c>
      <c r="N915" t="inlineStr"/>
    </row>
    <row r="916">
      <c r="A916" t="n">
        <v>121</v>
      </c>
      <c r="B916" t="inlineStr">
        <is>
          <t>Quint Hill</t>
        </is>
      </c>
      <c r="C916" t="inlineStr">
        <is>
          <t>Caphras Stone</t>
        </is>
      </c>
      <c r="D916" t="n">
        <v>6.369284</v>
      </c>
      <c r="E916" t="n">
        <v>3855.9</v>
      </c>
      <c r="F916" s="3" t="n">
        <v>1.651828107575404</v>
      </c>
      <c r="G916" t="n">
        <v>605</v>
      </c>
      <c r="H916" s="3" t="n">
        <v>1.629494233946849</v>
      </c>
      <c r="I916" s="3" t="n">
        <v>1.674391563440068</v>
      </c>
      <c r="J916" t="n">
        <v>20873.7</v>
      </c>
      <c r="K916">
        <f>IF(IFERROR(INDEX(Spots!$K$2:$K$96,MATCH(A916,Spots!$A$2:$A$96,0)),"")="","",IFERROR(INDEX(Spots!$K$2:$K$96,MATCH(A916,Spots!$A$2:$A$96,0)),""))</f>
        <v/>
      </c>
      <c r="L916" s="3">
        <f>IF(OR(K916="",F916=""),"",F916/1000*K916*100)</f>
        <v/>
      </c>
      <c r="M916">
        <f>IF(OR(L916="",L916=0),"",ROUND(100/L916,0))</f>
        <v/>
      </c>
      <c r="N916" t="inlineStr"/>
    </row>
    <row r="917">
      <c r="A917" t="n">
        <v>121</v>
      </c>
      <c r="B917" t="inlineStr">
        <is>
          <t>Quint Hill</t>
        </is>
      </c>
      <c r="C917" t="inlineStr">
        <is>
          <t>Crystallized Despair</t>
        </is>
      </c>
      <c r="D917" t="n">
        <v>4.270624</v>
      </c>
      <c r="E917" t="n">
        <v>3855.9</v>
      </c>
      <c r="F917" s="3" t="n">
        <v>1.107555693871729</v>
      </c>
      <c r="G917" t="n">
        <v>903</v>
      </c>
      <c r="H917" s="3" t="n">
        <v>1.08928138266839</v>
      </c>
      <c r="I917" s="3" t="n">
        <v>1.126059705669035</v>
      </c>
      <c r="J917" t="n">
        <v>13995.9</v>
      </c>
      <c r="K917">
        <f>IF(IFERROR(INDEX(Spots!$K$2:$K$96,MATCH(A917,Spots!$A$2:$A$96,0)),"")="","",IFERROR(INDEX(Spots!$K$2:$K$96,MATCH(A917,Spots!$A$2:$A$96,0)),""))</f>
        <v/>
      </c>
      <c r="L917" s="3">
        <f>IF(OR(K917="",F917=""),"",F917/1000*K917*100)</f>
        <v/>
      </c>
      <c r="M917">
        <f>IF(OR(L917="",L917=0),"",ROUND(100/L917,0))</f>
        <v/>
      </c>
      <c r="N917" t="inlineStr"/>
    </row>
    <row r="918">
      <c r="A918" t="n">
        <v>121</v>
      </c>
      <c r="B918" t="inlineStr">
        <is>
          <t>Quint Hill</t>
        </is>
      </c>
      <c r="C918" t="inlineStr">
        <is>
          <t>Sealed Black Magic Crystal</t>
        </is>
      </c>
      <c r="D918" t="n">
        <v>4.086484</v>
      </c>
      <c r="E918" t="n">
        <v>3855.9</v>
      </c>
      <c r="F918" s="3" t="n">
        <v>1.059800306024534</v>
      </c>
      <c r="G918" t="n">
        <v>944</v>
      </c>
      <c r="H918" s="3" t="n">
        <v>1.041925948341827</v>
      </c>
      <c r="I918" s="3" t="n">
        <v>1.077904378853563</v>
      </c>
      <c r="J918" t="n">
        <v>13392.4</v>
      </c>
      <c r="K918">
        <f>IF(IFERROR(INDEX(Spots!$K$2:$K$96,MATCH(A918,Spots!$A$2:$A$96,0)),"")="","",IFERROR(INDEX(Spots!$K$2:$K$96,MATCH(A918,Spots!$A$2:$A$96,0)),""))</f>
        <v/>
      </c>
      <c r="L918" s="3">
        <f>IF(OR(K918="",F918=""),"",F918/1000*K918*100)</f>
        <v/>
      </c>
      <c r="M918">
        <f>IF(OR(L918="",L918=0),"",ROUND(100/L918,0))</f>
        <v/>
      </c>
      <c r="N918" t="inlineStr"/>
    </row>
    <row r="919">
      <c r="A919" t="n">
        <v>121</v>
      </c>
      <c r="B919" t="inlineStr">
        <is>
          <t>Quint Hill</t>
        </is>
      </c>
      <c r="C919" t="inlineStr">
        <is>
          <t>Ancient Spirit Dust</t>
        </is>
      </c>
      <c r="D919" t="n">
        <v>1.79666</v>
      </c>
      <c r="E919" t="n">
        <v>3855.9</v>
      </c>
      <c r="F919" s="3" t="n">
        <v>0.4659508804688918</v>
      </c>
      <c r="G919" t="n">
        <v>2146</v>
      </c>
      <c r="H919" s="3" t="n">
        <v>0.4541243110559171</v>
      </c>
      <c r="I919" s="3" t="n">
        <v>0.4780075039446496</v>
      </c>
      <c r="J919" t="n">
        <v>5888.1</v>
      </c>
      <c r="K919">
        <f>IF(IFERROR(INDEX(Spots!$K$2:$K$96,MATCH(A919,Spots!$A$2:$A$96,0)),"")="","",IFERROR(INDEX(Spots!$K$2:$K$96,MATCH(A919,Spots!$A$2:$A$96,0)),""))</f>
        <v/>
      </c>
      <c r="L919" s="3">
        <f>IF(OR(K919="",F919=""),"",F919/1000*K919*100)</f>
        <v/>
      </c>
      <c r="M919">
        <f>IF(OR(L919="",L919=0),"",ROUND(100/L919,0))</f>
        <v/>
      </c>
      <c r="N919" t="inlineStr"/>
    </row>
    <row r="920">
      <c r="A920" t="n">
        <v>121</v>
      </c>
      <c r="B920" t="inlineStr">
        <is>
          <t>Quint Hill</t>
        </is>
      </c>
      <c r="C920" t="inlineStr">
        <is>
          <t>Mass of Pure Magic</t>
        </is>
      </c>
      <c r="D920" t="n">
        <v>1.00531</v>
      </c>
      <c r="E920" t="n">
        <v>3855.9</v>
      </c>
      <c r="F920" s="3" t="n">
        <v>0.2607199356829793</v>
      </c>
      <c r="G920" t="n">
        <v>3836</v>
      </c>
      <c r="H920" s="3" t="n">
        <v>0.2518923275538562</v>
      </c>
      <c r="I920" s="3" t="n">
        <v>0.2697779360480523</v>
      </c>
      <c r="J920" t="n">
        <v>3294.7</v>
      </c>
      <c r="K920">
        <f>IF(IFERROR(INDEX(Spots!$K$2:$K$96,MATCH(A920,Spots!$A$2:$A$96,0)),"")="","",IFERROR(INDEX(Spots!$K$2:$K$96,MATCH(A920,Spots!$A$2:$A$96,0)),""))</f>
        <v/>
      </c>
      <c r="L920" s="3">
        <f>IF(OR(K920="",F920=""),"",F920/1000*K920*100)</f>
        <v/>
      </c>
      <c r="M920">
        <f>IF(OR(L920="",L920=0),"",ROUND(100/L920,0))</f>
        <v/>
      </c>
      <c r="N920" t="inlineStr"/>
    </row>
    <row r="921">
      <c r="A921" t="n">
        <v>121</v>
      </c>
      <c r="B921" t="inlineStr">
        <is>
          <t>Quint Hill</t>
        </is>
      </c>
      <c r="C921" t="inlineStr">
        <is>
          <t>Scorching Sun Shard</t>
        </is>
      </c>
      <c r="D921" t="n">
        <v>0.60416736</v>
      </c>
      <c r="E921" t="n">
        <v>3855.9</v>
      </c>
      <c r="F921" s="3" t="n">
        <v>0.1566864700848051</v>
      </c>
      <c r="G921" t="n">
        <v>6382</v>
      </c>
      <c r="H921" s="3" t="n">
        <v>0.1498600310904425</v>
      </c>
      <c r="I921" s="3" t="n">
        <v>0.1637436896237106</v>
      </c>
      <c r="J921" t="n">
        <v>1980</v>
      </c>
      <c r="K921">
        <f>IF(IFERROR(INDEX(Spots!$K$2:$K$96,MATCH(A921,Spots!$A$2:$A$96,0)),"")="","",IFERROR(INDEX(Spots!$K$2:$K$96,MATCH(A921,Spots!$A$2:$A$96,0)),""))</f>
        <v/>
      </c>
      <c r="L921" s="3">
        <f>IF(OR(K921="",F921=""),"",F921/1000*K921*100)</f>
        <v/>
      </c>
      <c r="M921">
        <f>IF(OR(L921="",L921=0),"",ROUND(100/L921,0))</f>
        <v/>
      </c>
      <c r="N921" t="inlineStr"/>
    </row>
    <row r="922">
      <c r="A922" t="n">
        <v>121</v>
      </c>
      <c r="B922" t="inlineStr">
        <is>
          <t>Quint Hill</t>
        </is>
      </c>
      <c r="C922" t="inlineStr">
        <is>
          <t>Black Distortion Earring</t>
        </is>
      </c>
      <c r="D922" t="n">
        <v>0.2706348</v>
      </c>
      <c r="E922" t="n">
        <v>3855.9</v>
      </c>
      <c r="F922" s="3" t="n">
        <v>0.07018719365128764</v>
      </c>
      <c r="G922" t="n">
        <v>14248</v>
      </c>
      <c r="H922" s="3" t="n">
        <v>0.0656433503815875</v>
      </c>
      <c r="I922" s="3" t="n">
        <v>0.07496266793625658</v>
      </c>
      <c r="J922" t="n">
        <v>886.9</v>
      </c>
      <c r="K922">
        <f>IF(IFERROR(INDEX(Spots!$K$2:$K$96,MATCH(A922,Spots!$A$2:$A$96,0)),"")="","",IFERROR(INDEX(Spots!$K$2:$K$96,MATCH(A922,Spots!$A$2:$A$96,0)),""))</f>
        <v/>
      </c>
      <c r="L922" s="3">
        <f>IF(OR(K922="",F922=""),"",F922/1000*K922*100)</f>
        <v/>
      </c>
      <c r="M922">
        <f>IF(OR(L922="",L922=0),"",ROUND(100/L922,0))</f>
        <v/>
      </c>
      <c r="N922" t="inlineStr"/>
    </row>
    <row r="923">
      <c r="A923" t="n">
        <v>121</v>
      </c>
      <c r="B923" t="inlineStr">
        <is>
          <t>Quint Hill</t>
        </is>
      </c>
      <c r="C923" t="inlineStr">
        <is>
          <t>Ancient Spirit Light</t>
        </is>
      </c>
      <c r="D923" t="n">
        <v>0.04478275</v>
      </c>
      <c r="E923" t="n">
        <v>3855.9</v>
      </c>
      <c r="F923" s="3" t="n">
        <v>0.011614084908841</v>
      </c>
      <c r="G923" t="n">
        <v>86102</v>
      </c>
      <c r="H923" s="3" t="n">
        <v>0.009810988714007516</v>
      </c>
      <c r="I923" s="3" t="n">
        <v>0.01365250832250919</v>
      </c>
      <c r="J923" t="n">
        <v>146.8</v>
      </c>
      <c r="K923">
        <f>IF(IFERROR(INDEX(Spots!$K$2:$K$96,MATCH(A923,Spots!$A$2:$A$96,0)),"")="","",IFERROR(INDEX(Spots!$K$2:$K$96,MATCH(A923,Spots!$A$2:$A$96,0)),""))</f>
        <v/>
      </c>
      <c r="L923" s="3">
        <f>IF(OR(K923="",F923=""),"",F923/1000*K923*100)</f>
        <v/>
      </c>
      <c r="M923">
        <f>IF(OR(L923="",L923=0),"",ROUND(100/L923,0))</f>
        <v/>
      </c>
      <c r="N923" t="inlineStr"/>
    </row>
    <row r="924">
      <c r="A924" t="n">
        <v>121</v>
      </c>
      <c r="B924" t="inlineStr">
        <is>
          <t>Quint Hill</t>
        </is>
      </c>
      <c r="C924" t="inlineStr">
        <is>
          <t>Forgotten Limbo Box</t>
        </is>
      </c>
      <c r="D924" t="n">
        <v>0.02272891</v>
      </c>
      <c r="E924" t="n">
        <v>3855.9</v>
      </c>
      <c r="F924" s="3" t="n">
        <v>0.005894579734951633</v>
      </c>
      <c r="G924" t="n">
        <v>169647</v>
      </c>
      <c r="H924" s="3" t="n">
        <v>0.004632214376391568</v>
      </c>
      <c r="I924" s="3" t="n">
        <v>0.007394734306491466</v>
      </c>
      <c r="J924" t="n">
        <v>74.5</v>
      </c>
      <c r="K924">
        <f>IF(IFERROR(INDEX(Spots!$K$2:$K$96,MATCH(A924,Spots!$A$2:$A$96,0)),"")="","",IFERROR(INDEX(Spots!$K$2:$K$96,MATCH(A924,Spots!$A$2:$A$96,0)),""))</f>
        <v/>
      </c>
      <c r="L924" s="3">
        <f>IF(OR(K924="",F924=""),"",F924/1000*K924*100)</f>
        <v/>
      </c>
      <c r="M924">
        <f>IF(OR(L924="",L924=0),"",ROUND(100/L924,0))</f>
        <v/>
      </c>
      <c r="N924" t="inlineStr"/>
    </row>
    <row r="925">
      <c r="A925" t="n">
        <v>121</v>
      </c>
      <c r="B925" t="inlineStr">
        <is>
          <t>Quint Hill</t>
        </is>
      </c>
      <c r="C925" t="inlineStr">
        <is>
          <t>Blessed Soul Fragment</t>
        </is>
      </c>
      <c r="D925" t="n">
        <v>0</v>
      </c>
      <c r="E925" t="n">
        <v>3855.9</v>
      </c>
      <c r="F925" s="3" t="n">
        <v>0</v>
      </c>
      <c r="H925" s="3" t="n">
        <v>0</v>
      </c>
      <c r="I925" s="3" t="n">
        <v>0.0002919263658435105</v>
      </c>
      <c r="J925" t="n">
        <v>0</v>
      </c>
      <c r="K925">
        <f>IF(IFERROR(INDEX(Spots!$K$2:$K$96,MATCH(A925,Spots!$A$2:$A$96,0)),"")="","",IFERROR(INDEX(Spots!$K$2:$K$96,MATCH(A925,Spots!$A$2:$A$96,0)),""))</f>
        <v/>
      </c>
      <c r="L925" s="3">
        <f>IF(OR(K925="",F925=""),"",F925/1000*K925*100)</f>
        <v/>
      </c>
      <c r="M925">
        <f>IF(OR(L925="",L925=0),"",ROUND(100/L925,0))</f>
        <v/>
      </c>
      <c r="N925" t="inlineStr">
        <is>
          <t>no drops recorded</t>
        </is>
      </c>
    </row>
    <row r="926">
      <c r="A926" t="n">
        <v>122</v>
      </c>
      <c r="B926" t="inlineStr">
        <is>
          <t>Rhutum Outstation</t>
        </is>
      </c>
      <c r="C926" t="inlineStr">
        <is>
          <t>Tattered Shadow</t>
        </is>
      </c>
      <c r="D926" t="n">
        <v>143.51</v>
      </c>
      <c r="E926" t="n">
        <v>8332.700000000001</v>
      </c>
      <c r="F926" s="3" t="n">
        <v>17.22250891067721</v>
      </c>
      <c r="G926" t="n">
        <v>58</v>
      </c>
      <c r="H926" s="3" t="n">
        <v>16.99742935409172</v>
      </c>
      <c r="I926" s="3" t="n">
        <v>17.4498241945672</v>
      </c>
      <c r="J926" t="n">
        <v>22346.9</v>
      </c>
      <c r="K926">
        <f>IF(IFERROR(INDEX(Spots!$K$2:$K$96,MATCH(A926,Spots!$A$2:$A$96,0)),"")="","",IFERROR(INDEX(Spots!$K$2:$K$96,MATCH(A926,Spots!$A$2:$A$96,0)),""))</f>
        <v/>
      </c>
      <c r="L926" s="3">
        <f>IF(OR(K926="",F926=""),"",F926/1000*K926*100)</f>
        <v/>
      </c>
      <c r="M926">
        <f>IF(OR(L926="",L926=0),"",ROUND(100/L926,0))</f>
        <v/>
      </c>
      <c r="N926" t="inlineStr"/>
    </row>
    <row r="927">
      <c r="A927" t="n">
        <v>122</v>
      </c>
      <c r="B927" t="inlineStr">
        <is>
          <t>Rhutum Outstation</t>
        </is>
      </c>
      <c r="C927" t="inlineStr">
        <is>
          <t>Black Stone</t>
        </is>
      </c>
      <c r="D927" t="n">
        <v>64.55500000000001</v>
      </c>
      <c r="E927" t="n">
        <v>8332.700000000001</v>
      </c>
      <c r="F927" s="3" t="n">
        <v>7.747188786347762</v>
      </c>
      <c r="G927" t="n">
        <v>129</v>
      </c>
      <c r="H927" s="3" t="n">
        <v>7.596470522982419</v>
      </c>
      <c r="I927" s="3" t="n">
        <v>7.90014524874659</v>
      </c>
      <c r="J927" t="n">
        <v>10052.3</v>
      </c>
      <c r="K927">
        <f>IF(IFERROR(INDEX(Spots!$K$2:$K$96,MATCH(A927,Spots!$A$2:$A$96,0)),"")="","",IFERROR(INDEX(Spots!$K$2:$K$96,MATCH(A927,Spots!$A$2:$A$96,0)),""))</f>
        <v/>
      </c>
      <c r="L927" s="3">
        <f>IF(OR(K927="",F927=""),"",F927/1000*K927*100)</f>
        <v/>
      </c>
      <c r="M927">
        <f>IF(OR(L927="",L927=0),"",ROUND(100/L927,0))</f>
        <v/>
      </c>
      <c r="N927" t="inlineStr"/>
    </row>
    <row r="928">
      <c r="A928" t="n">
        <v>122</v>
      </c>
      <c r="B928" t="inlineStr">
        <is>
          <t>Rhutum Outstation</t>
        </is>
      </c>
      <c r="C928" t="inlineStr">
        <is>
          <t>Sealed Black Magic Crystal</t>
        </is>
      </c>
      <c r="D928" t="n">
        <v>4.442066</v>
      </c>
      <c r="E928" t="n">
        <v>8332.700000000001</v>
      </c>
      <c r="F928" s="3" t="n">
        <v>0.5330884347210387</v>
      </c>
      <c r="G928" t="n">
        <v>1876</v>
      </c>
      <c r="H928" s="3" t="n">
        <v>0.4940950345881895</v>
      </c>
      <c r="I928" s="3" t="n">
        <v>0.5743409930547582</v>
      </c>
      <c r="J928" t="n">
        <v>691.7</v>
      </c>
      <c r="K928">
        <f>IF(IFERROR(INDEX(Spots!$K$2:$K$96,MATCH(A928,Spots!$A$2:$A$96,0)),"")="","",IFERROR(INDEX(Spots!$K$2:$K$96,MATCH(A928,Spots!$A$2:$A$96,0)),""))</f>
        <v/>
      </c>
      <c r="L928" s="3">
        <f>IF(OR(K928="",F928=""),"",F928/1000*K928*100)</f>
        <v/>
      </c>
      <c r="M928">
        <f>IF(OR(L928="",L928=0),"",ROUND(100/L928,0))</f>
        <v/>
      </c>
      <c r="N928" t="inlineStr"/>
    </row>
    <row r="929">
      <c r="A929" t="n">
        <v>122</v>
      </c>
      <c r="B929" t="inlineStr">
        <is>
          <t>Rhutum Outstation</t>
        </is>
      </c>
      <c r="C929" t="inlineStr">
        <is>
          <t>Corrupted Breath</t>
        </is>
      </c>
      <c r="D929" t="n">
        <v>4.338588</v>
      </c>
      <c r="E929" t="n">
        <v>8332.700000000001</v>
      </c>
      <c r="F929" s="3" t="n">
        <v>0.5206701309299506</v>
      </c>
      <c r="G929" t="n">
        <v>1921</v>
      </c>
      <c r="H929" s="3" t="n">
        <v>0.4821422397649407</v>
      </c>
      <c r="I929" s="3" t="n">
        <v>0.561457514902141</v>
      </c>
      <c r="J929" t="n">
        <v>675.6</v>
      </c>
      <c r="K929">
        <f>IF(IFERROR(INDEX(Spots!$K$2:$K$96,MATCH(A929,Spots!$A$2:$A$96,0)),"")="","",IFERROR(INDEX(Spots!$K$2:$K$96,MATCH(A929,Spots!$A$2:$A$96,0)),""))</f>
        <v/>
      </c>
      <c r="L929" s="3">
        <f>IF(OR(K929="",F929=""),"",F929/1000*K929*100)</f>
        <v/>
      </c>
      <c r="M929">
        <f>IF(OR(L929="",L929=0),"",ROUND(100/L929,0))</f>
        <v/>
      </c>
      <c r="N929" t="inlineStr"/>
    </row>
    <row r="930">
      <c r="A930" t="n">
        <v>122</v>
      </c>
      <c r="B930" t="inlineStr">
        <is>
          <t>Rhutum Outstation</t>
        </is>
      </c>
      <c r="C930" t="inlineStr">
        <is>
          <t>Trace of Nature</t>
        </is>
      </c>
      <c r="D930" t="n">
        <v>4.231132</v>
      </c>
      <c r="E930" t="n">
        <v>8332.700000000001</v>
      </c>
      <c r="F930" s="3" t="n">
        <v>0.507774430856745</v>
      </c>
      <c r="G930" t="n">
        <v>1969</v>
      </c>
      <c r="H930" s="3" t="n">
        <v>0.4697358596832706</v>
      </c>
      <c r="I930" s="3" t="n">
        <v>0.5480728551384266</v>
      </c>
      <c r="J930" t="n">
        <v>658.9</v>
      </c>
      <c r="K930">
        <f>IF(IFERROR(INDEX(Spots!$K$2:$K$96,MATCH(A930,Spots!$A$2:$A$96,0)),"")="","",IFERROR(INDEX(Spots!$K$2:$K$96,MATCH(A930,Spots!$A$2:$A$96,0)),""))</f>
        <v/>
      </c>
      <c r="L930" s="3">
        <f>IF(OR(K930="",F930=""),"",F930/1000*K930*100)</f>
        <v/>
      </c>
      <c r="M930">
        <f>IF(OR(L930="",L930=0),"",ROUND(100/L930,0))</f>
        <v/>
      </c>
      <c r="N930" t="inlineStr"/>
    </row>
    <row r="931">
      <c r="A931" t="n">
        <v>122</v>
      </c>
      <c r="B931" t="inlineStr">
        <is>
          <t>Rhutum Outstation</t>
        </is>
      </c>
      <c r="C931" t="inlineStr">
        <is>
          <t>Crystallized Despair</t>
        </is>
      </c>
      <c r="D931" t="n">
        <v>1.916956</v>
      </c>
      <c r="E931" t="n">
        <v>8332.700000000001</v>
      </c>
      <c r="F931" s="3" t="n">
        <v>0.2300522039675015</v>
      </c>
      <c r="G931" t="n">
        <v>4347</v>
      </c>
      <c r="H931" s="3" t="n">
        <v>0.2046908170331151</v>
      </c>
      <c r="I931" s="3" t="n">
        <v>0.2576874207710523</v>
      </c>
      <c r="J931" t="n">
        <v>298.5</v>
      </c>
      <c r="K931">
        <f>IF(IFERROR(INDEX(Spots!$K$2:$K$96,MATCH(A931,Spots!$A$2:$A$96,0)),"")="","",IFERROR(INDEX(Spots!$K$2:$K$96,MATCH(A931,Spots!$A$2:$A$96,0)),""))</f>
        <v/>
      </c>
      <c r="L931" s="3">
        <f>IF(OR(K931="",F931=""),"",F931/1000*K931*100)</f>
        <v/>
      </c>
      <c r="M931">
        <f>IF(OR(L931="",L931=0),"",ROUND(100/L931,0))</f>
        <v/>
      </c>
      <c r="N931" t="inlineStr"/>
    </row>
    <row r="932">
      <c r="A932" t="n">
        <v>122</v>
      </c>
      <c r="B932" t="inlineStr">
        <is>
          <t>Rhutum Outstation</t>
        </is>
      </c>
      <c r="C932" t="inlineStr">
        <is>
          <t>Scorching Sun Shard</t>
        </is>
      </c>
      <c r="D932" t="n">
        <v>1.862454</v>
      </c>
      <c r="E932" t="n">
        <v>8332.700000000001</v>
      </c>
      <c r="F932" s="3" t="n">
        <v>0.2235114668714822</v>
      </c>
      <c r="G932" t="n">
        <v>4474</v>
      </c>
      <c r="H932" s="3" t="n">
        <v>0.1985238530507389</v>
      </c>
      <c r="I932" s="3" t="n">
        <v>0.2507735286276111</v>
      </c>
      <c r="J932" t="n">
        <v>290</v>
      </c>
      <c r="K932">
        <f>IF(IFERROR(INDEX(Spots!$K$2:$K$96,MATCH(A932,Spots!$A$2:$A$96,0)),"")="","",IFERROR(INDEX(Spots!$K$2:$K$96,MATCH(A932,Spots!$A$2:$A$96,0)),""))</f>
        <v/>
      </c>
      <c r="L932" s="3">
        <f>IF(OR(K932="",F932=""),"",F932/1000*K932*100)</f>
        <v/>
      </c>
      <c r="M932">
        <f>IF(OR(L932="",L932=0),"",ROUND(100/L932,0))</f>
        <v/>
      </c>
      <c r="N932" t="inlineStr"/>
    </row>
    <row r="933">
      <c r="A933" t="n">
        <v>122</v>
      </c>
      <c r="B933" t="inlineStr">
        <is>
          <t>Rhutum Outstation</t>
        </is>
      </c>
      <c r="C933" t="inlineStr">
        <is>
          <t>Mass of Pure Magic</t>
        </is>
      </c>
      <c r="D933" t="n">
        <v>0.95467468</v>
      </c>
      <c r="E933" t="n">
        <v>8332.700000000001</v>
      </c>
      <c r="F933" s="3" t="n">
        <v>0.114569668894836</v>
      </c>
      <c r="G933" t="n">
        <v>8728</v>
      </c>
      <c r="H933" s="3" t="n">
        <v>0.09689152200229527</v>
      </c>
      <c r="I933" s="3" t="n">
        <v>0.1345392850660974</v>
      </c>
      <c r="J933" t="n">
        <v>148.7</v>
      </c>
      <c r="K933">
        <f>IF(IFERROR(INDEX(Spots!$K$2:$K$96,MATCH(A933,Spots!$A$2:$A$96,0)),"")="","",IFERROR(INDEX(Spots!$K$2:$K$96,MATCH(A933,Spots!$A$2:$A$96,0)),""))</f>
        <v/>
      </c>
      <c r="L933" s="3">
        <f>IF(OR(K933="",F933=""),"",F933/1000*K933*100)</f>
        <v/>
      </c>
      <c r="M933">
        <f>IF(OR(L933="",L933=0),"",ROUND(100/L933,0))</f>
        <v/>
      </c>
      <c r="N933" t="inlineStr"/>
    </row>
    <row r="934">
      <c r="A934" t="n">
        <v>122</v>
      </c>
      <c r="B934" t="inlineStr">
        <is>
          <t>Rhutum Outstation</t>
        </is>
      </c>
      <c r="C934" t="inlineStr">
        <is>
          <t>Black Distortion Earring</t>
        </is>
      </c>
      <c r="D934" t="n">
        <v>0.08672924999999999</v>
      </c>
      <c r="E934" t="n">
        <v>8332.700000000001</v>
      </c>
      <c r="F934" s="3" t="n">
        <v>0.01040830103087835</v>
      </c>
      <c r="G934" t="n">
        <v>96077</v>
      </c>
      <c r="H934" s="3" t="n">
        <v>0.005613585763605619</v>
      </c>
      <c r="I934" s="3" t="n">
        <v>0.01762505522196912</v>
      </c>
      <c r="J934" t="n">
        <v>13.5</v>
      </c>
      <c r="K934">
        <f>IF(IFERROR(INDEX(Spots!$K$2:$K$96,MATCH(A934,Spots!$A$2:$A$96,0)),"")="","",IFERROR(INDEX(Spots!$K$2:$K$96,MATCH(A934,Spots!$A$2:$A$96,0)),""))</f>
        <v/>
      </c>
      <c r="L934" s="3">
        <f>IF(OR(K934="",F934=""),"",F934/1000*K934*100)</f>
        <v/>
      </c>
      <c r="M934">
        <f>IF(OR(L934="",L934=0),"",ROUND(100/L934,0))</f>
        <v/>
      </c>
      <c r="N934" t="inlineStr">
        <is>
          <t>low sample</t>
        </is>
      </c>
    </row>
    <row r="935">
      <c r="A935" t="n">
        <v>122</v>
      </c>
      <c r="B935" t="inlineStr">
        <is>
          <t>Rhutum Outstation</t>
        </is>
      </c>
      <c r="C935" t="inlineStr">
        <is>
          <t>Ancient Spirit Light</t>
        </is>
      </c>
      <c r="D935" t="n">
        <v>0.052744</v>
      </c>
      <c r="E935" t="n">
        <v>8332.700000000001</v>
      </c>
      <c r="F935" s="3" t="n">
        <v>0.006329761061840699</v>
      </c>
      <c r="G935" t="n">
        <v>157984</v>
      </c>
      <c r="H935" s="3" t="n">
        <v>0.002762192407093463</v>
      </c>
      <c r="I935" s="3" t="n">
        <v>0.01236750607367444</v>
      </c>
      <c r="J935" t="n">
        <v>8.199999999999999</v>
      </c>
      <c r="K935">
        <f>IF(IFERROR(INDEX(Spots!$K$2:$K$96,MATCH(A935,Spots!$A$2:$A$96,0)),"")="","",IFERROR(INDEX(Spots!$K$2:$K$96,MATCH(A935,Spots!$A$2:$A$96,0)),""))</f>
        <v/>
      </c>
      <c r="L935" s="3">
        <f>IF(OR(K935="",F935=""),"",F935/1000*K935*100)</f>
        <v/>
      </c>
      <c r="M935">
        <f>IF(OR(L935="",L935=0),"",ROUND(100/L935,0))</f>
        <v/>
      </c>
      <c r="N935" t="inlineStr">
        <is>
          <t>low sample</t>
        </is>
      </c>
    </row>
    <row r="936">
      <c r="A936" t="n">
        <v>122</v>
      </c>
      <c r="B936" t="inlineStr">
        <is>
          <t>Rhutum Outstation</t>
        </is>
      </c>
      <c r="C936" t="inlineStr">
        <is>
          <t>Blessed Soul Fragment</t>
        </is>
      </c>
      <c r="D936" t="n">
        <v>0</v>
      </c>
      <c r="E936" t="n">
        <v>8332.700000000001</v>
      </c>
      <c r="F936" s="3" t="n">
        <v>0</v>
      </c>
      <c r="H936" s="3" t="n">
        <v>0</v>
      </c>
      <c r="I936" s="3" t="n">
        <v>0.002843071687276768</v>
      </c>
      <c r="J936" t="n">
        <v>0</v>
      </c>
      <c r="K936">
        <f>IF(IFERROR(INDEX(Spots!$K$2:$K$96,MATCH(A936,Spots!$A$2:$A$96,0)),"")="","",IFERROR(INDEX(Spots!$K$2:$K$96,MATCH(A936,Spots!$A$2:$A$96,0)),""))</f>
        <v/>
      </c>
      <c r="L936" s="3">
        <f>IF(OR(K936="",F936=""),"",F936/1000*K936*100)</f>
        <v/>
      </c>
      <c r="M936">
        <f>IF(OR(L936="",L936=0),"",ROUND(100/L936,0))</f>
        <v/>
      </c>
      <c r="N936" t="inlineStr">
        <is>
          <t>no drops recorded</t>
        </is>
      </c>
    </row>
    <row r="937">
      <c r="A937" t="n">
        <v>91</v>
      </c>
      <c r="B937" t="inlineStr">
        <is>
          <t>Roud Sulfur Mine</t>
        </is>
      </c>
      <c r="C937" t="inlineStr">
        <is>
          <t>Black Stone</t>
        </is>
      </c>
      <c r="D937" t="n">
        <v>21.476</v>
      </c>
      <c r="E937" t="n">
        <v>3311.5</v>
      </c>
      <c r="F937" s="3" t="n">
        <v>6.48527857466405</v>
      </c>
      <c r="G937" t="n">
        <v>154</v>
      </c>
      <c r="H937" s="3" t="n">
        <v>6.206571445146065</v>
      </c>
      <c r="I937" s="3" t="n">
        <v>6.773276077438805</v>
      </c>
      <c r="J937" t="n">
        <v>2035.6</v>
      </c>
      <c r="K937">
        <f>IF(IFERROR(INDEX(Spots!$K$2:$K$96,MATCH(A937,Spots!$A$2:$A$96,0)),"")="","",IFERROR(INDEX(Spots!$K$2:$K$96,MATCH(A937,Spots!$A$2:$A$96,0)),""))</f>
        <v/>
      </c>
      <c r="L937" s="3">
        <f>IF(OR(K937="",F937=""),"",F937/1000*K937*100)</f>
        <v/>
      </c>
      <c r="M937">
        <f>IF(OR(L937="",L937=0),"",ROUND(100/L937,0))</f>
        <v/>
      </c>
      <c r="N937" t="inlineStr"/>
    </row>
    <row r="938">
      <c r="A938" t="n">
        <v>91</v>
      </c>
      <c r="B938" t="inlineStr">
        <is>
          <t>Roud Sulfur Mine</t>
        </is>
      </c>
      <c r="C938" t="inlineStr">
        <is>
          <t>Trace of Nature</t>
        </is>
      </c>
      <c r="D938" t="n">
        <v>10.628</v>
      </c>
      <c r="E938" t="n">
        <v>3311.5</v>
      </c>
      <c r="F938" s="3" t="n">
        <v>3.209421712215009</v>
      </c>
      <c r="G938" t="n">
        <v>312</v>
      </c>
      <c r="H938" s="3" t="n">
        <v>3.014260596116174</v>
      </c>
      <c r="I938" s="3" t="n">
        <v>3.413902024822745</v>
      </c>
      <c r="J938" t="n">
        <v>1007.4</v>
      </c>
      <c r="K938">
        <f>IF(IFERROR(INDEX(Spots!$K$2:$K$96,MATCH(A938,Spots!$A$2:$A$96,0)),"")="","",IFERROR(INDEX(Spots!$K$2:$K$96,MATCH(A938,Spots!$A$2:$A$96,0)),""))</f>
        <v/>
      </c>
      <c r="L938" s="3">
        <f>IF(OR(K938="",F938=""),"",F938/1000*K938*100)</f>
        <v/>
      </c>
      <c r="M938">
        <f>IF(OR(L938="",L938=0),"",ROUND(100/L938,0))</f>
        <v/>
      </c>
      <c r="N938" t="inlineStr"/>
    </row>
    <row r="939">
      <c r="A939" t="n">
        <v>91</v>
      </c>
      <c r="B939" t="inlineStr">
        <is>
          <t>Roud Sulfur Mine</t>
        </is>
      </c>
      <c r="C939" t="inlineStr">
        <is>
          <t>Caphras Stone</t>
        </is>
      </c>
      <c r="D939" t="n">
        <v>10.429</v>
      </c>
      <c r="E939" t="n">
        <v>3311.5</v>
      </c>
      <c r="F939" s="3" t="n">
        <v>3.149328099048769</v>
      </c>
      <c r="G939" t="n">
        <v>318</v>
      </c>
      <c r="H939" s="3" t="n">
        <v>2.956031400988555</v>
      </c>
      <c r="I939" s="3" t="n">
        <v>3.35194491456625</v>
      </c>
      <c r="J939" t="n">
        <v>988.5</v>
      </c>
      <c r="K939">
        <f>IF(IFERROR(INDEX(Spots!$K$2:$K$96,MATCH(A939,Spots!$A$2:$A$96,0)),"")="","",IFERROR(INDEX(Spots!$K$2:$K$96,MATCH(A939,Spots!$A$2:$A$96,0)),""))</f>
        <v/>
      </c>
      <c r="L939" s="3">
        <f>IF(OR(K939="",F939=""),"",F939/1000*K939*100)</f>
        <v/>
      </c>
      <c r="M939">
        <f>IF(OR(L939="",L939=0),"",ROUND(100/L939,0))</f>
        <v/>
      </c>
      <c r="N939" t="inlineStr"/>
    </row>
    <row r="940">
      <c r="A940" t="n">
        <v>91</v>
      </c>
      <c r="B940" t="inlineStr">
        <is>
          <t>Roud Sulfur Mine</t>
        </is>
      </c>
      <c r="C940" t="inlineStr">
        <is>
          <t>Ancient Spirit Dust</t>
        </is>
      </c>
      <c r="D940" t="n">
        <v>6.265796</v>
      </c>
      <c r="E940" t="n">
        <v>3311.5</v>
      </c>
      <c r="F940" s="3" t="n">
        <v>1.892132266344557</v>
      </c>
      <c r="G940" t="n">
        <v>529</v>
      </c>
      <c r="H940" s="3" t="n">
        <v>1.742991389697377</v>
      </c>
      <c r="I940" s="3" t="n">
        <v>2.050621602685194</v>
      </c>
      <c r="J940" t="n">
        <v>593.9</v>
      </c>
      <c r="K940">
        <f>IF(IFERROR(INDEX(Spots!$K$2:$K$96,MATCH(A940,Spots!$A$2:$A$96,0)),"")="","",IFERROR(INDEX(Spots!$K$2:$K$96,MATCH(A940,Spots!$A$2:$A$96,0)),""))</f>
        <v/>
      </c>
      <c r="L940" s="3">
        <f>IF(OR(K940="",F940=""),"",F940/1000*K940*100)</f>
        <v/>
      </c>
      <c r="M940">
        <f>IF(OR(L940="",L940=0),"",ROUND(100/L940,0))</f>
        <v/>
      </c>
      <c r="N940" t="inlineStr"/>
    </row>
    <row r="941">
      <c r="A941" t="n">
        <v>91</v>
      </c>
      <c r="B941" t="inlineStr">
        <is>
          <t>Roud Sulfur Mine</t>
        </is>
      </c>
      <c r="C941" t="inlineStr">
        <is>
          <t>Scroll Written in Ancient Language</t>
        </is>
      </c>
      <c r="D941" t="n">
        <v>4.5066</v>
      </c>
      <c r="E941" t="n">
        <v>3311.5</v>
      </c>
      <c r="F941" s="3" t="n">
        <v>1.360893854748603</v>
      </c>
      <c r="G941" t="n">
        <v>735</v>
      </c>
      <c r="H941" s="3" t="n">
        <v>1.234875520387722</v>
      </c>
      <c r="I941" s="3" t="n">
        <v>1.496283136148335</v>
      </c>
      <c r="J941" t="n">
        <v>427.2</v>
      </c>
      <c r="K941">
        <f>IF(IFERROR(INDEX(Spots!$K$2:$K$96,MATCH(A941,Spots!$A$2:$A$96,0)),"")="","",IFERROR(INDEX(Spots!$K$2:$K$96,MATCH(A941,Spots!$A$2:$A$96,0)),""))</f>
        <v/>
      </c>
      <c r="L941" s="3">
        <f>IF(OR(K941="",F941=""),"",F941/1000*K941*100)</f>
        <v/>
      </c>
      <c r="M941">
        <f>IF(OR(L941="",L941=0),"",ROUND(100/L941,0))</f>
        <v/>
      </c>
      <c r="N941" t="inlineStr"/>
    </row>
    <row r="942">
      <c r="A942" t="n">
        <v>91</v>
      </c>
      <c r="B942" t="inlineStr">
        <is>
          <t>Roud Sulfur Mine</t>
        </is>
      </c>
      <c r="C942" t="inlineStr">
        <is>
          <t>Sealed Black Magic Crystal</t>
        </is>
      </c>
      <c r="D942" t="n">
        <v>1.729622</v>
      </c>
      <c r="E942" t="n">
        <v>3311.5</v>
      </c>
      <c r="F942" s="3" t="n">
        <v>0.5223077155367659</v>
      </c>
      <c r="G942" t="n">
        <v>1915</v>
      </c>
      <c r="H942" s="3" t="n">
        <v>0.4454082487117375</v>
      </c>
      <c r="I942" s="3" t="n">
        <v>0.6086682090498667</v>
      </c>
      <c r="J942" t="n">
        <v>163.9</v>
      </c>
      <c r="K942">
        <f>IF(IFERROR(INDEX(Spots!$K$2:$K$96,MATCH(A942,Spots!$A$2:$A$96,0)),"")="","",IFERROR(INDEX(Spots!$K$2:$K$96,MATCH(A942,Spots!$A$2:$A$96,0)),""))</f>
        <v/>
      </c>
      <c r="L942" s="3">
        <f>IF(OR(K942="",F942=""),"",F942/1000*K942*100)</f>
        <v/>
      </c>
      <c r="M942">
        <f>IF(OR(L942="",L942=0),"",ROUND(100/L942,0))</f>
        <v/>
      </c>
      <c r="N942" t="inlineStr"/>
    </row>
    <row r="943">
      <c r="A943" t="n">
        <v>91</v>
      </c>
      <c r="B943" t="inlineStr">
        <is>
          <t>Roud Sulfur Mine</t>
        </is>
      </c>
      <c r="C943" t="inlineStr">
        <is>
          <t>Traveler's Map</t>
        </is>
      </c>
      <c r="D943" t="n">
        <v>1.208427</v>
      </c>
      <c r="E943" t="n">
        <v>3311.5</v>
      </c>
      <c r="F943" s="3" t="n">
        <v>0.3649183149630076</v>
      </c>
      <c r="G943" t="n">
        <v>2740</v>
      </c>
      <c r="H943" s="3" t="n">
        <v>0.3011491029604215</v>
      </c>
      <c r="I943" s="3" t="n">
        <v>0.4381945074328061</v>
      </c>
      <c r="J943" t="n">
        <v>114.5</v>
      </c>
      <c r="K943">
        <f>IF(IFERROR(INDEX(Spots!$K$2:$K$96,MATCH(A943,Spots!$A$2:$A$96,0)),"")="","",IFERROR(INDEX(Spots!$K$2:$K$96,MATCH(A943,Spots!$A$2:$A$96,0)),""))</f>
        <v/>
      </c>
      <c r="L943" s="3">
        <f>IF(OR(K943="",F943=""),"",F943/1000*K943*100)</f>
        <v/>
      </c>
      <c r="M943">
        <f>IF(OR(L943="",L943=0),"",ROUND(100/L943,0))</f>
        <v/>
      </c>
      <c r="N943" t="inlineStr"/>
    </row>
    <row r="944">
      <c r="A944" t="n">
        <v>91</v>
      </c>
      <c r="B944" t="inlineStr">
        <is>
          <t>Roud Sulfur Mine</t>
        </is>
      </c>
      <c r="C944" t="inlineStr">
        <is>
          <t>Yona's Fragment</t>
        </is>
      </c>
      <c r="D944" t="n">
        <v>1.015462</v>
      </c>
      <c r="E944" t="n">
        <v>3311.5</v>
      </c>
      <c r="F944" s="3" t="n">
        <v>0.3066471387588706</v>
      </c>
      <c r="G944" t="n">
        <v>3261</v>
      </c>
      <c r="H944" s="3" t="n">
        <v>0.2484493723266352</v>
      </c>
      <c r="I944" s="3" t="n">
        <v>0.3743771686439494</v>
      </c>
      <c r="J944" t="n">
        <v>96.2</v>
      </c>
      <c r="K944">
        <f>IF(IFERROR(INDEX(Spots!$K$2:$K$96,MATCH(A944,Spots!$A$2:$A$96,0)),"")="","",IFERROR(INDEX(Spots!$K$2:$K$96,MATCH(A944,Spots!$A$2:$A$96,0)),""))</f>
        <v/>
      </c>
      <c r="L944" s="3">
        <f>IF(OR(K944="",F944=""),"",F944/1000*K944*100)</f>
        <v/>
      </c>
      <c r="M944">
        <f>IF(OR(L944="",L944=0),"",ROUND(100/L944,0))</f>
        <v/>
      </c>
      <c r="N944" t="inlineStr"/>
    </row>
    <row r="945">
      <c r="A945" t="n">
        <v>91</v>
      </c>
      <c r="B945" t="inlineStr">
        <is>
          <t>Roud Sulfur Mine</t>
        </is>
      </c>
      <c r="C945" t="inlineStr">
        <is>
          <t>Mass of Pure Magic</t>
        </is>
      </c>
      <c r="D945" t="n">
        <v>0.8976893500000001</v>
      </c>
      <c r="E945" t="n">
        <v>3311.5</v>
      </c>
      <c r="F945" s="3" t="n">
        <v>0.271082394685188</v>
      </c>
      <c r="G945" t="n">
        <v>3689</v>
      </c>
      <c r="H945" s="3" t="n">
        <v>0.2165494550795902</v>
      </c>
      <c r="I945" s="3" t="n">
        <v>0.335166812892743</v>
      </c>
      <c r="J945" t="n">
        <v>85.09999999999999</v>
      </c>
      <c r="K945">
        <f>IF(IFERROR(INDEX(Spots!$K$2:$K$96,MATCH(A945,Spots!$A$2:$A$96,0)),"")="","",IFERROR(INDEX(Spots!$K$2:$K$96,MATCH(A945,Spots!$A$2:$A$96,0)),""))</f>
        <v/>
      </c>
      <c r="L945" s="3">
        <f>IF(OR(K945="",F945=""),"",F945/1000*K945*100)</f>
        <v/>
      </c>
      <c r="M945">
        <f>IF(OR(L945="",L945=0),"",ROUND(100/L945,0))</f>
        <v/>
      </c>
      <c r="N945" t="inlineStr"/>
    </row>
    <row r="946">
      <c r="A946" t="n">
        <v>91</v>
      </c>
      <c r="B946" t="inlineStr">
        <is>
          <t>Roud Sulfur Mine</t>
        </is>
      </c>
      <c r="C946" t="inlineStr">
        <is>
          <t>Sicil's Shattered Necklace</t>
        </is>
      </c>
      <c r="D946" t="n">
        <v>0.76422543</v>
      </c>
      <c r="E946" t="n">
        <v>3311.5</v>
      </c>
      <c r="F946" s="3" t="n">
        <v>0.2307792329759927</v>
      </c>
      <c r="G946" t="n">
        <v>4333</v>
      </c>
      <c r="H946" s="3" t="n">
        <v>0.1807042220196968</v>
      </c>
      <c r="I946" s="3" t="n">
        <v>0.2904325465713957</v>
      </c>
      <c r="J946" t="n">
        <v>72.40000000000001</v>
      </c>
      <c r="K946">
        <f>IF(IFERROR(INDEX(Spots!$K$2:$K$96,MATCH(A946,Spots!$A$2:$A$96,0)),"")="","",IFERROR(INDEX(Spots!$K$2:$K$96,MATCH(A946,Spots!$A$2:$A$96,0)),""))</f>
        <v/>
      </c>
      <c r="L946" s="3">
        <f>IF(OR(K946="",F946=""),"",F946/1000*K946*100)</f>
        <v/>
      </c>
      <c r="M946">
        <f>IF(OR(L946="",L946=0),"",ROUND(100/L946,0))</f>
        <v/>
      </c>
      <c r="N946" t="inlineStr"/>
    </row>
    <row r="947">
      <c r="A947" t="n">
        <v>91</v>
      </c>
      <c r="B947" t="inlineStr">
        <is>
          <t>Roud Sulfur Mine</t>
        </is>
      </c>
      <c r="C947" t="inlineStr">
        <is>
          <t>Part for Explorer's Compass</t>
        </is>
      </c>
      <c r="D947" t="n">
        <v>0.47796195</v>
      </c>
      <c r="E947" t="n">
        <v>3311.5</v>
      </c>
      <c r="F947" s="3" t="n">
        <v>0.144333972520006</v>
      </c>
      <c r="G947" t="n">
        <v>6928</v>
      </c>
      <c r="H947" s="3" t="n">
        <v>0.1053879927162279</v>
      </c>
      <c r="I947" s="3" t="n">
        <v>0.1929489564185528</v>
      </c>
      <c r="J947" t="n">
        <v>45.3</v>
      </c>
      <c r="K947">
        <f>IF(IFERROR(INDEX(Spots!$K$2:$K$96,MATCH(A947,Spots!$A$2:$A$96,0)),"")="","",IFERROR(INDEX(Spots!$K$2:$K$96,MATCH(A947,Spots!$A$2:$A$96,0)),""))</f>
        <v/>
      </c>
      <c r="L947" s="3">
        <f>IF(OR(K947="",F947=""),"",F947/1000*K947*100)</f>
        <v/>
      </c>
      <c r="M947">
        <f>IF(OR(L947="",L947=0),"",ROUND(100/L947,0))</f>
        <v/>
      </c>
      <c r="N947" t="inlineStr"/>
    </row>
    <row r="948">
      <c r="A948" t="n">
        <v>91</v>
      </c>
      <c r="B948" t="inlineStr">
        <is>
          <t>Roud Sulfur Mine</t>
        </is>
      </c>
      <c r="C948" t="inlineStr">
        <is>
          <t>Black Spirit's Claw Piece</t>
        </is>
      </c>
      <c r="D948" t="n">
        <v>0.37865156</v>
      </c>
      <c r="E948" t="n">
        <v>3311.5</v>
      </c>
      <c r="F948" s="3" t="n">
        <v>0.1143444239770497</v>
      </c>
      <c r="G948" t="n">
        <v>8746</v>
      </c>
      <c r="H948" s="3" t="n">
        <v>0.08002602355044534</v>
      </c>
      <c r="I948" s="3" t="n">
        <v>0.1583846077474233</v>
      </c>
      <c r="J948" t="n">
        <v>35.9</v>
      </c>
      <c r="K948">
        <f>IF(IFERROR(INDEX(Spots!$K$2:$K$96,MATCH(A948,Spots!$A$2:$A$96,0)),"")="","",IFERROR(INDEX(Spots!$K$2:$K$96,MATCH(A948,Spots!$A$2:$A$96,0)),""))</f>
        <v/>
      </c>
      <c r="L948" s="3">
        <f>IF(OR(K948="",F948=""),"",F948/1000*K948*100)</f>
        <v/>
      </c>
      <c r="M948">
        <f>IF(OR(L948="",L948=0),"",ROUND(100/L948,0))</f>
        <v/>
      </c>
      <c r="N948" t="inlineStr"/>
    </row>
    <row r="949">
      <c r="A949" t="n">
        <v>91</v>
      </c>
      <c r="B949" t="inlineStr">
        <is>
          <t>Roud Sulfur Mine</t>
        </is>
      </c>
      <c r="C949" t="inlineStr">
        <is>
          <t>Imperfect Lightstone of Fire</t>
        </is>
      </c>
      <c r="D949" t="n">
        <v>0.37386456</v>
      </c>
      <c r="E949" t="n">
        <v>3311.5</v>
      </c>
      <c r="F949" s="3" t="n">
        <v>0.1128988555035482</v>
      </c>
      <c r="G949" t="n">
        <v>8857</v>
      </c>
      <c r="H949" s="3" t="n">
        <v>0.0788180839023145</v>
      </c>
      <c r="I949" s="3" t="n">
        <v>0.156704456237538</v>
      </c>
      <c r="J949" t="n">
        <v>35.4</v>
      </c>
      <c r="K949">
        <f>IF(IFERROR(INDEX(Spots!$K$2:$K$96,MATCH(A949,Spots!$A$2:$A$96,0)),"")="","",IFERROR(INDEX(Spots!$K$2:$K$96,MATCH(A949,Spots!$A$2:$A$96,0)),""))</f>
        <v/>
      </c>
      <c r="L949" s="3">
        <f>IF(OR(K949="",F949=""),"",F949/1000*K949*100)</f>
        <v/>
      </c>
      <c r="M949">
        <f>IF(OR(L949="",L949=0),"",ROUND(100/L949,0))</f>
        <v/>
      </c>
      <c r="N949" t="inlineStr"/>
    </row>
    <row r="950">
      <c r="A950" t="n">
        <v>91</v>
      </c>
      <c r="B950" t="inlineStr">
        <is>
          <t>Roud Sulfur Mine</t>
        </is>
      </c>
      <c r="C950" t="inlineStr">
        <is>
          <t>Sicil's Necklace</t>
        </is>
      </c>
      <c r="D950" t="n">
        <v>0.25070111</v>
      </c>
      <c r="E950" t="n">
        <v>3311.5</v>
      </c>
      <c r="F950" s="3" t="n">
        <v>0.07570620866676733</v>
      </c>
      <c r="G950" t="n">
        <v>13209</v>
      </c>
      <c r="H950" s="3" t="n">
        <v>0.04837167565646248</v>
      </c>
      <c r="I950" s="3" t="n">
        <v>0.1128705376368508</v>
      </c>
      <c r="J950" t="n">
        <v>23.8</v>
      </c>
      <c r="K950">
        <f>IF(IFERROR(INDEX(Spots!$K$2:$K$96,MATCH(A950,Spots!$A$2:$A$96,0)),"")="","",IFERROR(INDEX(Spots!$K$2:$K$96,MATCH(A950,Spots!$A$2:$A$96,0)),""))</f>
        <v/>
      </c>
      <c r="L950" s="3">
        <f>IF(OR(K950="",F950=""),"",F950/1000*K950*100)</f>
        <v/>
      </c>
      <c r="M950">
        <f>IF(OR(L950="",L950=0),"",ROUND(100/L950,0))</f>
        <v/>
      </c>
      <c r="N950" t="inlineStr">
        <is>
          <t>low sample</t>
        </is>
      </c>
    </row>
    <row r="951">
      <c r="A951" t="n">
        <v>91</v>
      </c>
      <c r="B951" t="inlineStr">
        <is>
          <t>Roud Sulfur Mine</t>
        </is>
      </c>
      <c r="C951" t="inlineStr">
        <is>
          <t>Any Artifact</t>
        </is>
      </c>
      <c r="D951" t="n">
        <v>0.11373343</v>
      </c>
      <c r="E951" t="n">
        <v>3311.5</v>
      </c>
      <c r="F951" s="3" t="n">
        <v>0.03434498867582666</v>
      </c>
      <c r="G951" t="n">
        <v>29116</v>
      </c>
      <c r="H951" s="3" t="n">
        <v>0.016978848752471</v>
      </c>
      <c r="I951" s="3" t="n">
        <v>0.06180918830008672</v>
      </c>
      <c r="J951" t="n">
        <v>10.8</v>
      </c>
      <c r="K951">
        <f>IF(IFERROR(INDEX(Spots!$K$2:$K$96,MATCH(A951,Spots!$A$2:$A$96,0)),"")="","",IFERROR(INDEX(Spots!$K$2:$K$96,MATCH(A951,Spots!$A$2:$A$96,0)),""))</f>
        <v/>
      </c>
      <c r="L951" s="3">
        <f>IF(OR(K951="",F951=""),"",F951/1000*K951*100)</f>
        <v/>
      </c>
      <c r="M951">
        <f>IF(OR(L951="",L951=0),"",ROUND(100/L951,0))</f>
        <v/>
      </c>
      <c r="N951" t="inlineStr">
        <is>
          <t>low sample</t>
        </is>
      </c>
    </row>
    <row r="952">
      <c r="A952" t="n">
        <v>91</v>
      </c>
      <c r="B952" t="inlineStr">
        <is>
          <t>Roud Sulfur Mine</t>
        </is>
      </c>
      <c r="C952" t="inlineStr">
        <is>
          <t>Roud Sulfur Mine Paint</t>
        </is>
      </c>
      <c r="D952" t="n">
        <v>0.10122827</v>
      </c>
      <c r="E952" t="n">
        <v>3311.5</v>
      </c>
      <c r="F952" s="3" t="n">
        <v>0.03056870602446021</v>
      </c>
      <c r="G952" t="n">
        <v>32713</v>
      </c>
      <c r="H952" s="3" t="n">
        <v>0.0143673755432251</v>
      </c>
      <c r="I952" s="3" t="n">
        <v>0.05691529839582424</v>
      </c>
      <c r="J952" t="n">
        <v>9.6</v>
      </c>
      <c r="K952">
        <f>IF(IFERROR(INDEX(Spots!$K$2:$K$96,MATCH(A952,Spots!$A$2:$A$96,0)),"")="","",IFERROR(INDEX(Spots!$K$2:$K$96,MATCH(A952,Spots!$A$2:$A$96,0)),""))</f>
        <v/>
      </c>
      <c r="L952" s="3">
        <f>IF(OR(K952="",F952=""),"",F952/1000*K952*100)</f>
        <v/>
      </c>
      <c r="M952">
        <f>IF(OR(L952="",L952=0),"",ROUND(100/L952,0))</f>
        <v/>
      </c>
      <c r="N952" t="inlineStr">
        <is>
          <t>low sample</t>
        </is>
      </c>
    </row>
    <row r="953">
      <c r="A953" t="n">
        <v>91</v>
      </c>
      <c r="B953" t="inlineStr">
        <is>
          <t>Roud Sulfur Mine</t>
        </is>
      </c>
      <c r="C953" t="inlineStr">
        <is>
          <t>Imperfect Lightstone of Wind</t>
        </is>
      </c>
      <c r="D953" t="n">
        <v>0.06253876999999999</v>
      </c>
      <c r="E953" t="n">
        <v>3311.5</v>
      </c>
      <c r="F953" s="3" t="n">
        <v>0.0188853299109165</v>
      </c>
      <c r="G953" t="n">
        <v>52951</v>
      </c>
      <c r="H953" s="3" t="n">
        <v>0.006842718752683748</v>
      </c>
      <c r="I953" s="3" t="n">
        <v>0.0412909841747889</v>
      </c>
      <c r="J953" t="n">
        <v>5.9</v>
      </c>
      <c r="K953">
        <f>IF(IFERROR(INDEX(Spots!$K$2:$K$96,MATCH(A953,Spots!$A$2:$A$96,0)),"")="","",IFERROR(INDEX(Spots!$K$2:$K$96,MATCH(A953,Spots!$A$2:$A$96,0)),""))</f>
        <v/>
      </c>
      <c r="L953" s="3">
        <f>IF(OR(K953="",F953=""),"",F953/1000*K953*100)</f>
        <v/>
      </c>
      <c r="M953">
        <f>IF(OR(L953="",L953=0),"",ROUND(100/L953,0))</f>
        <v/>
      </c>
      <c r="N953" t="inlineStr">
        <is>
          <t>low sample</t>
        </is>
      </c>
    </row>
    <row r="954">
      <c r="A954" t="n">
        <v>91</v>
      </c>
      <c r="B954" t="inlineStr">
        <is>
          <t>Roud Sulfur Mine</t>
        </is>
      </c>
      <c r="C954" t="inlineStr">
        <is>
          <t>Imperfect Lightstone of Earth</t>
        </is>
      </c>
      <c r="D954" t="n">
        <v>0.0387192</v>
      </c>
      <c r="E954" t="n">
        <v>3311.5</v>
      </c>
      <c r="F954" s="3" t="n">
        <v>0.01169234485882531</v>
      </c>
      <c r="G954" t="n">
        <v>85526</v>
      </c>
      <c r="H954" s="3" t="n">
        <v>0.00290534844269817</v>
      </c>
      <c r="I954" s="3" t="n">
        <v>0.03109516198681229</v>
      </c>
      <c r="J954" t="n">
        <v>3.7</v>
      </c>
      <c r="K954">
        <f>IF(IFERROR(INDEX(Spots!$K$2:$K$96,MATCH(A954,Spots!$A$2:$A$96,0)),"")="","",IFERROR(INDEX(Spots!$K$2:$K$96,MATCH(A954,Spots!$A$2:$A$96,0)),""))</f>
        <v/>
      </c>
      <c r="L954" s="3">
        <f>IF(OR(K954="",F954=""),"",F954/1000*K954*100)</f>
        <v/>
      </c>
      <c r="M954">
        <f>IF(OR(L954="",L954=0),"",ROUND(100/L954,0))</f>
        <v/>
      </c>
      <c r="N954" t="inlineStr">
        <is>
          <t>low sample</t>
        </is>
      </c>
    </row>
    <row r="955">
      <c r="A955" t="n">
        <v>91</v>
      </c>
      <c r="B955" t="inlineStr">
        <is>
          <t>Roud Sulfur Mine</t>
        </is>
      </c>
      <c r="C955" t="inlineStr">
        <is>
          <t>Specter's Energy</t>
        </is>
      </c>
      <c r="D955" t="n">
        <v>0.00983404</v>
      </c>
      <c r="E955" t="n">
        <v>3311.5</v>
      </c>
      <c r="F955" s="3" t="n">
        <v>0.002969663294579496</v>
      </c>
      <c r="G955" t="n">
        <v>336739</v>
      </c>
      <c r="H955" s="3" t="n">
        <v>2.524292219186476e-05</v>
      </c>
      <c r="I955" s="3" t="n">
        <v>0.01734816131510325</v>
      </c>
      <c r="J955" t="n">
        <v>0.9</v>
      </c>
      <c r="K955">
        <f>IF(IFERROR(INDEX(Spots!$K$2:$K$96,MATCH(A955,Spots!$A$2:$A$96,0)),"")="","",IFERROR(INDEX(Spots!$K$2:$K$96,MATCH(A955,Spots!$A$2:$A$96,0)),""))</f>
        <v/>
      </c>
      <c r="L955" s="3">
        <f>IF(OR(K955="",F955=""),"",F955/1000*K955*100)</f>
        <v/>
      </c>
      <c r="M955">
        <f>IF(OR(L955="",L955=0),"",ROUND(100/L955,0))</f>
        <v/>
      </c>
      <c r="N955" t="inlineStr">
        <is>
          <t>low sample</t>
        </is>
      </c>
    </row>
    <row r="956">
      <c r="A956" t="n">
        <v>91</v>
      </c>
      <c r="B956" t="inlineStr">
        <is>
          <t>Roud Sulfur Mine</t>
        </is>
      </c>
      <c r="C956" t="inlineStr">
        <is>
          <t>Great Marni's Stone (Roud Sulfur Mine)</t>
        </is>
      </c>
      <c r="D956" t="n">
        <v>0.00627771</v>
      </c>
      <c r="E956" t="n">
        <v>3311.5</v>
      </c>
      <c r="F956" s="3" t="n">
        <v>0.001895730031707685</v>
      </c>
      <c r="G956" t="n">
        <v>527501</v>
      </c>
      <c r="H956" s="3" t="n">
        <v>0</v>
      </c>
      <c r="I956" s="3" t="n">
        <v>0.0154170151187999</v>
      </c>
      <c r="J956" t="n">
        <v>0.6</v>
      </c>
      <c r="K956">
        <f>IF(IFERROR(INDEX(Spots!$K$2:$K$96,MATCH(A956,Spots!$A$2:$A$96,0)),"")="","",IFERROR(INDEX(Spots!$K$2:$K$96,MATCH(A956,Spots!$A$2:$A$96,0)),""))</f>
        <v/>
      </c>
      <c r="L956" s="3">
        <f>IF(OR(K956="",F956=""),"",F956/1000*K956*100)</f>
        <v/>
      </c>
      <c r="M956">
        <f>IF(OR(L956="",L956=0),"",ROUND(100/L956,0))</f>
        <v/>
      </c>
      <c r="N956" t="inlineStr">
        <is>
          <t>low sample</t>
        </is>
      </c>
    </row>
    <row r="957">
      <c r="A957" t="n">
        <v>91</v>
      </c>
      <c r="B957" t="inlineStr">
        <is>
          <t>Roud Sulfur Mine</t>
        </is>
      </c>
      <c r="C957" t="inlineStr">
        <is>
          <t>Manos Craftsman's Clothes</t>
        </is>
      </c>
      <c r="D957" t="n">
        <v>0.0049754</v>
      </c>
      <c r="E957" t="n">
        <v>3311.5</v>
      </c>
      <c r="F957" s="3" t="n">
        <v>0.001502461120338215</v>
      </c>
      <c r="G957" t="n">
        <v>665575</v>
      </c>
      <c r="H957" s="3" t="n">
        <v>0</v>
      </c>
      <c r="I957" s="3" t="n">
        <v>0.01468317623450497</v>
      </c>
      <c r="J957" t="n">
        <v>0.5</v>
      </c>
      <c r="K957">
        <f>IF(IFERROR(INDEX(Spots!$K$2:$K$96,MATCH(A957,Spots!$A$2:$A$96,0)),"")="","",IFERROR(INDEX(Spots!$K$2:$K$96,MATCH(A957,Spots!$A$2:$A$96,0)),""))</f>
        <v/>
      </c>
      <c r="L957" s="3">
        <f>IF(OR(K957="",F957=""),"",F957/1000*K957*100)</f>
        <v/>
      </c>
      <c r="M957">
        <f>IF(OR(L957="",L957=0),"",ROUND(100/L957,0))</f>
        <v/>
      </c>
      <c r="N957" t="inlineStr">
        <is>
          <t>low sample</t>
        </is>
      </c>
    </row>
    <row r="958">
      <c r="A958" t="n">
        <v>123</v>
      </c>
      <c r="B958" t="inlineStr">
        <is>
          <t>Saunil Camp</t>
        </is>
      </c>
      <c r="C958" t="inlineStr">
        <is>
          <t>Tattered Shadow</t>
        </is>
      </c>
      <c r="D958" t="n">
        <v>108.89</v>
      </c>
      <c r="E958" t="n">
        <v>8187.7</v>
      </c>
      <c r="F958" s="3" t="n">
        <v>13.29921711836047</v>
      </c>
      <c r="G958" t="n">
        <v>75</v>
      </c>
      <c r="H958" s="3" t="n">
        <v>13.14090326805853</v>
      </c>
      <c r="I958" s="3" t="n">
        <v>13.45896221715712</v>
      </c>
      <c r="J958" t="n">
        <v>26950.3</v>
      </c>
      <c r="K958">
        <f>IF(IFERROR(INDEX(Spots!$K$2:$K$96,MATCH(A958,Spots!$A$2:$A$96,0)),"")="","",IFERROR(INDEX(Spots!$K$2:$K$96,MATCH(A958,Spots!$A$2:$A$96,0)),""))</f>
        <v/>
      </c>
      <c r="L958" s="3">
        <f>IF(OR(K958="",F958=""),"",F958/1000*K958*100)</f>
        <v/>
      </c>
      <c r="M958">
        <f>IF(OR(L958="",L958=0),"",ROUND(100/L958,0))</f>
        <v/>
      </c>
      <c r="N958" t="inlineStr"/>
    </row>
    <row r="959">
      <c r="A959" t="n">
        <v>123</v>
      </c>
      <c r="B959" t="inlineStr">
        <is>
          <t>Saunil Camp</t>
        </is>
      </c>
      <c r="C959" t="inlineStr">
        <is>
          <t>Black Stone</t>
        </is>
      </c>
      <c r="D959" t="n">
        <v>75.768</v>
      </c>
      <c r="E959" t="n">
        <v>8187.7</v>
      </c>
      <c r="F959" s="3" t="n">
        <v>9.253880821231848</v>
      </c>
      <c r="G959" t="n">
        <v>108</v>
      </c>
      <c r="H959" s="3" t="n">
        <v>9.121899563408389</v>
      </c>
      <c r="I959" s="3" t="n">
        <v>9.387293911517778</v>
      </c>
      <c r="J959" t="n">
        <v>18752.6</v>
      </c>
      <c r="K959">
        <f>IF(IFERROR(INDEX(Spots!$K$2:$K$96,MATCH(A959,Spots!$A$2:$A$96,0)),"")="","",IFERROR(INDEX(Spots!$K$2:$K$96,MATCH(A959,Spots!$A$2:$A$96,0)),""))</f>
        <v/>
      </c>
      <c r="L959" s="3">
        <f>IF(OR(K959="",F959=""),"",F959/1000*K959*100)</f>
        <v/>
      </c>
      <c r="M959">
        <f>IF(OR(L959="",L959=0),"",ROUND(100/L959,0))</f>
        <v/>
      </c>
      <c r="N959" t="inlineStr"/>
    </row>
    <row r="960">
      <c r="A960" t="n">
        <v>123</v>
      </c>
      <c r="B960" t="inlineStr">
        <is>
          <t>Saunil Camp</t>
        </is>
      </c>
      <c r="C960" t="inlineStr">
        <is>
          <t>Corrupted Breath</t>
        </is>
      </c>
      <c r="D960" t="n">
        <v>6.793003</v>
      </c>
      <c r="E960" t="n">
        <v>8187.7</v>
      </c>
      <c r="F960" s="3" t="n">
        <v>0.8296594892338508</v>
      </c>
      <c r="G960" t="n">
        <v>1205</v>
      </c>
      <c r="H960" s="3" t="n">
        <v>0.790470154311789</v>
      </c>
      <c r="I960" s="3" t="n">
        <v>0.8702888619927212</v>
      </c>
      <c r="J960" t="n">
        <v>1681.3</v>
      </c>
      <c r="K960">
        <f>IF(IFERROR(INDEX(Spots!$K$2:$K$96,MATCH(A960,Spots!$A$2:$A$96,0)),"")="","",IFERROR(INDEX(Spots!$K$2:$K$96,MATCH(A960,Spots!$A$2:$A$96,0)),""))</f>
        <v/>
      </c>
      <c r="L960" s="3">
        <f>IF(OR(K960="",F960=""),"",F960/1000*K960*100)</f>
        <v/>
      </c>
      <c r="M960">
        <f>IF(OR(L960="",L960=0),"",ROUND(100/L960,0))</f>
        <v/>
      </c>
      <c r="N960" t="inlineStr"/>
    </row>
    <row r="961">
      <c r="A961" t="n">
        <v>123</v>
      </c>
      <c r="B961" t="inlineStr">
        <is>
          <t>Saunil Camp</t>
        </is>
      </c>
      <c r="C961" t="inlineStr">
        <is>
          <t>Sealed Black Magic Crystal</t>
        </is>
      </c>
      <c r="D961" t="n">
        <v>6.601813</v>
      </c>
      <c r="E961" t="n">
        <v>8187.7</v>
      </c>
      <c r="F961" s="3" t="n">
        <v>0.8063086092553464</v>
      </c>
      <c r="G961" t="n">
        <v>1240</v>
      </c>
      <c r="H961" s="3" t="n">
        <v>0.7676813821921517</v>
      </c>
      <c r="I961" s="3" t="n">
        <v>0.8463760418782561</v>
      </c>
      <c r="J961" t="n">
        <v>1633.9</v>
      </c>
      <c r="K961">
        <f>IF(IFERROR(INDEX(Spots!$K$2:$K$96,MATCH(A961,Spots!$A$2:$A$96,0)),"")="","",IFERROR(INDEX(Spots!$K$2:$K$96,MATCH(A961,Spots!$A$2:$A$96,0)),""))</f>
        <v/>
      </c>
      <c r="L961" s="3">
        <f>IF(OR(K961="",F961=""),"",F961/1000*K961*100)</f>
        <v/>
      </c>
      <c r="M961">
        <f>IF(OR(L961="",L961=0),"",ROUND(100/L961,0))</f>
        <v/>
      </c>
      <c r="N961" t="inlineStr"/>
    </row>
    <row r="962">
      <c r="A962" t="n">
        <v>123</v>
      </c>
      <c r="B962" t="inlineStr">
        <is>
          <t>Saunil Camp</t>
        </is>
      </c>
      <c r="C962" t="inlineStr">
        <is>
          <t>Trace of Nature</t>
        </is>
      </c>
      <c r="D962" t="n">
        <v>6.318385</v>
      </c>
      <c r="E962" t="n">
        <v>8187.7</v>
      </c>
      <c r="F962" s="3" t="n">
        <v>0.77169229453937</v>
      </c>
      <c r="G962" t="n">
        <v>1296</v>
      </c>
      <c r="H962" s="3" t="n">
        <v>0.7339135576734754</v>
      </c>
      <c r="I962" s="3" t="n">
        <v>0.8109114994212836</v>
      </c>
      <c r="J962" t="n">
        <v>1563.8</v>
      </c>
      <c r="K962">
        <f>IF(IFERROR(INDEX(Spots!$K$2:$K$96,MATCH(A962,Spots!$A$2:$A$96,0)),"")="","",IFERROR(INDEX(Spots!$K$2:$K$96,MATCH(A962,Spots!$A$2:$A$96,0)),""))</f>
        <v/>
      </c>
      <c r="L962" s="3">
        <f>IF(OR(K962="",F962=""),"",F962/1000*K962*100)</f>
        <v/>
      </c>
      <c r="M962">
        <f>IF(OR(L962="",L962=0),"",ROUND(100/L962,0))</f>
        <v/>
      </c>
      <c r="N962" t="inlineStr"/>
    </row>
    <row r="963">
      <c r="A963" t="n">
        <v>123</v>
      </c>
      <c r="B963" t="inlineStr">
        <is>
          <t>Saunil Camp</t>
        </is>
      </c>
      <c r="C963" t="inlineStr">
        <is>
          <t>Scorching Sun Shard</t>
        </is>
      </c>
      <c r="D963" t="n">
        <v>1.86736</v>
      </c>
      <c r="E963" t="n">
        <v>8187.7</v>
      </c>
      <c r="F963" s="3" t="n">
        <v>0.2280689326672936</v>
      </c>
      <c r="G963" t="n">
        <v>4385</v>
      </c>
      <c r="H963" s="3" t="n">
        <v>0.2077466689381157</v>
      </c>
      <c r="I963" s="3" t="n">
        <v>0.2498417652224475</v>
      </c>
      <c r="J963" t="n">
        <v>462.2</v>
      </c>
      <c r="K963">
        <f>IF(IFERROR(INDEX(Spots!$K$2:$K$96,MATCH(A963,Spots!$A$2:$A$96,0)),"")="","",IFERROR(INDEX(Spots!$K$2:$K$96,MATCH(A963,Spots!$A$2:$A$96,0)),""))</f>
        <v/>
      </c>
      <c r="L963" s="3">
        <f>IF(OR(K963="",F963=""),"",F963/1000*K963*100)</f>
        <v/>
      </c>
      <c r="M963">
        <f>IF(OR(L963="",L963=0),"",ROUND(100/L963,0))</f>
        <v/>
      </c>
      <c r="N963" t="inlineStr"/>
    </row>
    <row r="964">
      <c r="A964" t="n">
        <v>123</v>
      </c>
      <c r="B964" t="inlineStr">
        <is>
          <t>Saunil Camp</t>
        </is>
      </c>
      <c r="C964" t="inlineStr">
        <is>
          <t>Crystallized Despair</t>
        </is>
      </c>
      <c r="D964" t="n">
        <v>1.330099</v>
      </c>
      <c r="E964" t="n">
        <v>8187.7</v>
      </c>
      <c r="F964" s="3" t="n">
        <v>0.1624508714290949</v>
      </c>
      <c r="G964" t="n">
        <v>6156</v>
      </c>
      <c r="H964" s="3" t="n">
        <v>0.145373545440265</v>
      </c>
      <c r="I964" s="3" t="n">
        <v>0.1809828289506772</v>
      </c>
      <c r="J964" t="n">
        <v>329.2</v>
      </c>
      <c r="K964">
        <f>IF(IFERROR(INDEX(Spots!$K$2:$K$96,MATCH(A964,Spots!$A$2:$A$96,0)),"")="","",IFERROR(INDEX(Spots!$K$2:$K$96,MATCH(A964,Spots!$A$2:$A$96,0)),""))</f>
        <v/>
      </c>
      <c r="L964" s="3">
        <f>IF(OR(K964="",F964=""),"",F964/1000*K964*100)</f>
        <v/>
      </c>
      <c r="M964">
        <f>IF(OR(L964="",L964=0),"",ROUND(100/L964,0))</f>
        <v/>
      </c>
      <c r="N964" t="inlineStr"/>
    </row>
    <row r="965">
      <c r="A965" t="n">
        <v>123</v>
      </c>
      <c r="B965" t="inlineStr">
        <is>
          <t>Saunil Camp</t>
        </is>
      </c>
      <c r="C965" t="inlineStr">
        <is>
          <t>Mass of Pure Magic</t>
        </is>
      </c>
      <c r="D965" t="n">
        <v>0.89687457</v>
      </c>
      <c r="E965" t="n">
        <v>8187.7</v>
      </c>
      <c r="F965" s="3" t="n">
        <v>0.1095392564456441</v>
      </c>
      <c r="G965" t="n">
        <v>9129</v>
      </c>
      <c r="H965" s="3" t="n">
        <v>0.09560134605629499</v>
      </c>
      <c r="I965" s="3" t="n">
        <v>0.1249374406399481</v>
      </c>
      <c r="J965" t="n">
        <v>222</v>
      </c>
      <c r="K965">
        <f>IF(IFERROR(INDEX(Spots!$K$2:$K$96,MATCH(A965,Spots!$A$2:$A$96,0)),"")="","",IFERROR(INDEX(Spots!$K$2:$K$96,MATCH(A965,Spots!$A$2:$A$96,0)),""))</f>
        <v/>
      </c>
      <c r="L965" s="3">
        <f>IF(OR(K965="",F965=""),"",F965/1000*K965*100)</f>
        <v/>
      </c>
      <c r="M965">
        <f>IF(OR(L965="",L965=0),"",ROUND(100/L965,0))</f>
        <v/>
      </c>
      <c r="N965" t="inlineStr"/>
    </row>
    <row r="966">
      <c r="A966" t="n">
        <v>123</v>
      </c>
      <c r="B966" t="inlineStr">
        <is>
          <t>Saunil Camp</t>
        </is>
      </c>
      <c r="C966" t="inlineStr">
        <is>
          <t>Black Distortion Earring</t>
        </is>
      </c>
      <c r="D966" t="n">
        <v>0.09462684</v>
      </c>
      <c r="E966" t="n">
        <v>8187.7</v>
      </c>
      <c r="F966" s="3" t="n">
        <v>0.01155719432807748</v>
      </c>
      <c r="G966" t="n">
        <v>86526</v>
      </c>
      <c r="H966" s="3" t="n">
        <v>0.007357532790630422</v>
      </c>
      <c r="I966" s="3" t="n">
        <v>0.01728002497782173</v>
      </c>
      <c r="J966" t="n">
        <v>23.4</v>
      </c>
      <c r="K966">
        <f>IF(IFERROR(INDEX(Spots!$K$2:$K$96,MATCH(A966,Spots!$A$2:$A$96,0)),"")="","",IFERROR(INDEX(Spots!$K$2:$K$96,MATCH(A966,Spots!$A$2:$A$96,0)),""))</f>
        <v/>
      </c>
      <c r="L966" s="3">
        <f>IF(OR(K966="",F966=""),"",F966/1000*K966*100)</f>
        <v/>
      </c>
      <c r="M966">
        <f>IF(OR(L966="",L966=0),"",ROUND(100/L966,0))</f>
        <v/>
      </c>
      <c r="N966" t="inlineStr">
        <is>
          <t>low sample</t>
        </is>
      </c>
    </row>
    <row r="967">
      <c r="A967" t="n">
        <v>123</v>
      </c>
      <c r="B967" t="inlineStr">
        <is>
          <t>Saunil Camp</t>
        </is>
      </c>
      <c r="C967" t="inlineStr">
        <is>
          <t>Ancient Spirit Light</t>
        </is>
      </c>
      <c r="D967" t="n">
        <v>0.04549037</v>
      </c>
      <c r="E967" t="n">
        <v>8187.7</v>
      </c>
      <c r="F967" s="3" t="n">
        <v>0.005555940007572335</v>
      </c>
      <c r="G967" t="n">
        <v>179988</v>
      </c>
      <c r="H967" s="3" t="n">
        <v>0.002796080432783992</v>
      </c>
      <c r="I967" s="3" t="n">
        <v>0.00987722905324283</v>
      </c>
      <c r="J967" t="n">
        <v>11.3</v>
      </c>
      <c r="K967">
        <f>IF(IFERROR(INDEX(Spots!$K$2:$K$96,MATCH(A967,Spots!$A$2:$A$96,0)),"")="","",IFERROR(INDEX(Spots!$K$2:$K$96,MATCH(A967,Spots!$A$2:$A$96,0)),""))</f>
        <v/>
      </c>
      <c r="L967" s="3">
        <f>IF(OR(K967="",F967=""),"",F967/1000*K967*100)</f>
        <v/>
      </c>
      <c r="M967">
        <f>IF(OR(L967="",L967=0),"",ROUND(100/L967,0))</f>
        <v/>
      </c>
      <c r="N967" t="inlineStr">
        <is>
          <t>low sample</t>
        </is>
      </c>
    </row>
    <row r="968">
      <c r="A968" t="n">
        <v>123</v>
      </c>
      <c r="B968" t="inlineStr">
        <is>
          <t>Saunil Camp</t>
        </is>
      </c>
      <c r="C968" t="inlineStr">
        <is>
          <t>Blessed Soul Fragment</t>
        </is>
      </c>
      <c r="D968" t="n">
        <v>0</v>
      </c>
      <c r="E968" t="n">
        <v>8187.7</v>
      </c>
      <c r="F968" s="3" t="n">
        <v>0</v>
      </c>
      <c r="H968" s="3" t="n">
        <v>0</v>
      </c>
      <c r="I968" s="3" t="n">
        <v>0.001820419715555101</v>
      </c>
      <c r="J968" t="n">
        <v>0</v>
      </c>
      <c r="K968">
        <f>IF(IFERROR(INDEX(Spots!$K$2:$K$96,MATCH(A968,Spots!$A$2:$A$96,0)),"")="","",IFERROR(INDEX(Spots!$K$2:$K$96,MATCH(A968,Spots!$A$2:$A$96,0)),""))</f>
        <v/>
      </c>
      <c r="L968" s="3">
        <f>IF(OR(K968="",F968=""),"",F968/1000*K968*100)</f>
        <v/>
      </c>
      <c r="M968">
        <f>IF(OR(L968="",L968=0),"",ROUND(100/L968,0))</f>
        <v/>
      </c>
      <c r="N968" t="inlineStr">
        <is>
          <t>no drops recorded</t>
        </is>
      </c>
    </row>
    <row r="969">
      <c r="A969" t="n">
        <v>217</v>
      </c>
      <c r="B969" t="inlineStr">
        <is>
          <t>Scales of Judgment</t>
        </is>
      </c>
      <c r="C969" t="inlineStr">
        <is>
          <t>Ancient Spirit Dust</t>
        </is>
      </c>
      <c r="D969" t="n">
        <v>49.418</v>
      </c>
      <c r="E969" t="n">
        <v>6716.5</v>
      </c>
      <c r="F969" s="3" t="n">
        <v>7.3577011836522</v>
      </c>
      <c r="G969" t="n">
        <v>136</v>
      </c>
      <c r="H969" s="3" t="n">
        <v>7.30312978070507</v>
      </c>
      <c r="I969" s="3" t="n">
        <v>7.412579054468377</v>
      </c>
      <c r="J969" t="n">
        <v>69578.10000000001</v>
      </c>
      <c r="K969">
        <f>IF(IFERROR(INDEX(Spots!$K$2:$K$96,MATCH(A969,Spots!$A$2:$A$96,0)),"")="","",IFERROR(INDEX(Spots!$K$2:$K$96,MATCH(A969,Spots!$A$2:$A$96,0)),""))</f>
        <v/>
      </c>
      <c r="L969" s="3">
        <f>IF(OR(K969="",F969=""),"",F969/1000*K969*100)</f>
        <v/>
      </c>
      <c r="M969">
        <f>IF(OR(L969="",L969=0),"",ROUND(100/L969,0))</f>
        <v/>
      </c>
      <c r="N969" t="inlineStr"/>
    </row>
    <row r="970">
      <c r="A970" t="n">
        <v>217</v>
      </c>
      <c r="B970" t="inlineStr">
        <is>
          <t>Scales of Judgment</t>
        </is>
      </c>
      <c r="C970" t="inlineStr">
        <is>
          <t>Black Stone</t>
        </is>
      </c>
      <c r="D970" t="n">
        <v>27.041</v>
      </c>
      <c r="E970" t="n">
        <v>6716.5</v>
      </c>
      <c r="F970" s="3" t="n">
        <v>4.026055237102658</v>
      </c>
      <c r="G970" t="n">
        <v>248</v>
      </c>
      <c r="H970" s="3" t="n">
        <v>3.985713654649323</v>
      </c>
      <c r="I970" s="3" t="n">
        <v>4.066703425396942</v>
      </c>
      <c r="J970" t="n">
        <v>38072.4</v>
      </c>
      <c r="K970">
        <f>IF(IFERROR(INDEX(Spots!$K$2:$K$96,MATCH(A970,Spots!$A$2:$A$96,0)),"")="","",IFERROR(INDEX(Spots!$K$2:$K$96,MATCH(A970,Spots!$A$2:$A$96,0)),""))</f>
        <v/>
      </c>
      <c r="L970" s="3">
        <f>IF(OR(K970="",F970=""),"",F970/1000*K970*100)</f>
        <v/>
      </c>
      <c r="M970">
        <f>IF(OR(L970="",L970=0),"",ROUND(100/L970,0))</f>
        <v/>
      </c>
      <c r="N970" t="inlineStr"/>
    </row>
    <row r="971">
      <c r="A971" t="n">
        <v>217</v>
      </c>
      <c r="B971" t="inlineStr">
        <is>
          <t>Scales of Judgment</t>
        </is>
      </c>
      <c r="C971" t="inlineStr">
        <is>
          <t>Caphras Stone</t>
        </is>
      </c>
      <c r="D971" t="n">
        <v>9.241766</v>
      </c>
      <c r="E971" t="n">
        <v>6716.5</v>
      </c>
      <c r="F971" s="3" t="n">
        <v>1.375979453584456</v>
      </c>
      <c r="G971" t="n">
        <v>727</v>
      </c>
      <c r="H971" s="3" t="n">
        <v>1.352437070165867</v>
      </c>
      <c r="I971" s="3" t="n">
        <v>1.399828819090352</v>
      </c>
      <c r="J971" t="n">
        <v>13011.9</v>
      </c>
      <c r="K971">
        <f>IF(IFERROR(INDEX(Spots!$K$2:$K$96,MATCH(A971,Spots!$A$2:$A$96,0)),"")="","",IFERROR(INDEX(Spots!$K$2:$K$96,MATCH(A971,Spots!$A$2:$A$96,0)),""))</f>
        <v/>
      </c>
      <c r="L971" s="3">
        <f>IF(OR(K971="",F971=""),"",F971/1000*K971*100)</f>
        <v/>
      </c>
      <c r="M971">
        <f>IF(OR(L971="",L971=0),"",ROUND(100/L971,0))</f>
        <v/>
      </c>
      <c r="N971" t="inlineStr"/>
    </row>
    <row r="972">
      <c r="A972" t="n">
        <v>217</v>
      </c>
      <c r="B972" t="inlineStr">
        <is>
          <t>Scales of Judgment</t>
        </is>
      </c>
      <c r="C972" t="inlineStr">
        <is>
          <t>HAN Origin Shard</t>
        </is>
      </c>
      <c r="D972" t="n">
        <v>1.640015</v>
      </c>
      <c r="E972" t="n">
        <v>6716.5</v>
      </c>
      <c r="F972" s="3" t="n">
        <v>0.2441770267252289</v>
      </c>
      <c r="G972" t="n">
        <v>4095</v>
      </c>
      <c r="H972" s="3" t="n">
        <v>0.2343178973907209</v>
      </c>
      <c r="I972" s="3" t="n">
        <v>0.2543443782166102</v>
      </c>
      <c r="J972" t="n">
        <v>2309.1</v>
      </c>
      <c r="K972">
        <f>IF(IFERROR(INDEX(Spots!$K$2:$K$96,MATCH(A972,Spots!$A$2:$A$96,0)),"")="","",IFERROR(INDEX(Spots!$K$2:$K$96,MATCH(A972,Spots!$A$2:$A$96,0)),""))</f>
        <v/>
      </c>
      <c r="L972" s="3">
        <f>IF(OR(K972="",F972=""),"",F972/1000*K972*100)</f>
        <v/>
      </c>
      <c r="M972">
        <f>IF(OR(L972="",L972=0),"",ROUND(100/L972,0))</f>
        <v/>
      </c>
      <c r="N972" t="inlineStr"/>
    </row>
    <row r="973">
      <c r="A973" t="n">
        <v>217</v>
      </c>
      <c r="B973" t="inlineStr">
        <is>
          <t>Scales of Judgment</t>
        </is>
      </c>
      <c r="C973" t="inlineStr">
        <is>
          <t>Corrupt Oil of Immortality</t>
        </is>
      </c>
      <c r="D973" t="n">
        <v>0.420304</v>
      </c>
      <c r="E973" t="n">
        <v>6716.5</v>
      </c>
      <c r="F973" s="3" t="n">
        <v>0.06257783071540238</v>
      </c>
      <c r="G973" t="n">
        <v>15980</v>
      </c>
      <c r="H973" s="3" t="n">
        <v>0.05763667587239713</v>
      </c>
      <c r="I973" s="3" t="n">
        <v>0.06782928216810523</v>
      </c>
      <c r="J973" t="n">
        <v>591.8</v>
      </c>
      <c r="K973">
        <f>IF(IFERROR(INDEX(Spots!$K$2:$K$96,MATCH(A973,Spots!$A$2:$A$96,0)),"")="","",IFERROR(INDEX(Spots!$K$2:$K$96,MATCH(A973,Spots!$A$2:$A$96,0)),""))</f>
        <v/>
      </c>
      <c r="L973" s="3">
        <f>IF(OR(K973="",F973=""),"",F973/1000*K973*100)</f>
        <v/>
      </c>
      <c r="M973">
        <f>IF(OR(L973="",L973=0),"",ROUND(100/L973,0))</f>
        <v/>
      </c>
      <c r="N973" t="inlineStr"/>
    </row>
    <row r="974">
      <c r="A974" t="n">
        <v>217</v>
      </c>
      <c r="B974" t="inlineStr">
        <is>
          <t>Scales of Judgment</t>
        </is>
      </c>
      <c r="C974" t="inlineStr">
        <is>
          <t>Twilight of the End - Necklace</t>
        </is>
      </c>
      <c r="D974" t="n">
        <v>0.33284014</v>
      </c>
      <c r="E974" t="n">
        <v>6716.5</v>
      </c>
      <c r="F974" s="3" t="n">
        <v>0.04955559294275293</v>
      </c>
      <c r="G974" t="n">
        <v>20179</v>
      </c>
      <c r="H974" s="3" t="n">
        <v>0.04516969235946127</v>
      </c>
      <c r="I974" s="3" t="n">
        <v>0.05425230688150718</v>
      </c>
      <c r="J974" t="n">
        <v>468.6</v>
      </c>
      <c r="K974">
        <f>IF(IFERROR(INDEX(Spots!$K$2:$K$96,MATCH(A974,Spots!$A$2:$A$96,0)),"")="","",IFERROR(INDEX(Spots!$K$2:$K$96,MATCH(A974,Spots!$A$2:$A$96,0)),""))</f>
        <v/>
      </c>
      <c r="L974" s="3">
        <f>IF(OR(K974="",F974=""),"",F974/1000*K974*100)</f>
        <v/>
      </c>
      <c r="M974">
        <f>IF(OR(L974="",L974=0),"",ROUND(100/L974,0))</f>
        <v/>
      </c>
      <c r="N974" t="inlineStr"/>
    </row>
    <row r="975">
      <c r="A975" t="n">
        <v>217</v>
      </c>
      <c r="B975" t="inlineStr">
        <is>
          <t>Scales of Judgment</t>
        </is>
      </c>
      <c r="C975" t="inlineStr">
        <is>
          <t>Nev's Fragment</t>
        </is>
      </c>
      <c r="D975" t="n">
        <v>0.28145229</v>
      </c>
      <c r="E975" t="n">
        <v>6716.5</v>
      </c>
      <c r="F975" s="3" t="n">
        <v>0.04190460656591975</v>
      </c>
      <c r="G975" t="n">
        <v>23864</v>
      </c>
      <c r="H975" s="3" t="n">
        <v>0.03787964468625211</v>
      </c>
      <c r="I975" s="3" t="n">
        <v>0.04624079136897444</v>
      </c>
      <c r="J975" t="n">
        <v>396.3</v>
      </c>
      <c r="K975">
        <f>IF(IFERROR(INDEX(Spots!$K$2:$K$96,MATCH(A975,Spots!$A$2:$A$96,0)),"")="","",IFERROR(INDEX(Spots!$K$2:$K$96,MATCH(A975,Spots!$A$2:$A$96,0)),""))</f>
        <v/>
      </c>
      <c r="L975" s="3">
        <f>IF(OR(K975="",F975=""),"",F975/1000*K975*100)</f>
        <v/>
      </c>
      <c r="M975">
        <f>IF(OR(L975="",L975=0),"",ROUND(100/L975,0))</f>
        <v/>
      </c>
      <c r="N975" t="inlineStr"/>
    </row>
    <row r="976">
      <c r="A976" t="n">
        <v>217</v>
      </c>
      <c r="B976" t="inlineStr">
        <is>
          <t>Scales of Judgment</t>
        </is>
      </c>
      <c r="C976" t="inlineStr">
        <is>
          <t>Fusion Shard</t>
        </is>
      </c>
      <c r="D976" t="n">
        <v>0.26825189</v>
      </c>
      <c r="E976" t="n">
        <v>6716.5</v>
      </c>
      <c r="F976" s="3" t="n">
        <v>0.03993923769820591</v>
      </c>
      <c r="G976" t="n">
        <v>25038</v>
      </c>
      <c r="H976" s="3" t="n">
        <v>0.03601221169560714</v>
      </c>
      <c r="I976" s="3" t="n">
        <v>0.04417761025174155</v>
      </c>
      <c r="J976" t="n">
        <v>377.7</v>
      </c>
      <c r="K976">
        <f>IF(IFERROR(INDEX(Spots!$K$2:$K$96,MATCH(A976,Spots!$A$2:$A$96,0)),"")="","",IFERROR(INDEX(Spots!$K$2:$K$96,MATCH(A976,Spots!$A$2:$A$96,0)),""))</f>
        <v/>
      </c>
      <c r="L976" s="3">
        <f>IF(OR(K976="",F976=""),"",F976/1000*K976*100)</f>
        <v/>
      </c>
      <c r="M976">
        <f>IF(OR(L976="",L976=0),"",ROUND(100/L976,0))</f>
        <v/>
      </c>
      <c r="N976" t="inlineStr"/>
    </row>
    <row r="977">
      <c r="A977" t="n">
        <v>217</v>
      </c>
      <c r="B977" t="inlineStr">
        <is>
          <t>Scales of Judgment</t>
        </is>
      </c>
      <c r="C977" t="inlineStr">
        <is>
          <t>Twilight of the End - Belt</t>
        </is>
      </c>
      <c r="D977" t="n">
        <v>0.15740007</v>
      </c>
      <c r="E977" t="n">
        <v>6716.5</v>
      </c>
      <c r="F977" s="3" t="n">
        <v>0.02343483510757091</v>
      </c>
      <c r="G977" t="n">
        <v>42672</v>
      </c>
      <c r="H977" s="3" t="n">
        <v>0.02045058702493262</v>
      </c>
      <c r="I977" s="3" t="n">
        <v>0.0267320143926572</v>
      </c>
      <c r="J977" t="n">
        <v>221.6</v>
      </c>
      <c r="K977">
        <f>IF(IFERROR(INDEX(Spots!$K$2:$K$96,MATCH(A977,Spots!$A$2:$A$96,0)),"")="","",IFERROR(INDEX(Spots!$K$2:$K$96,MATCH(A977,Spots!$A$2:$A$96,0)),""))</f>
        <v/>
      </c>
      <c r="L977" s="3">
        <f>IF(OR(K977="",F977=""),"",F977/1000*K977*100)</f>
        <v/>
      </c>
      <c r="M977">
        <f>IF(OR(L977="",L977=0),"",ROUND(100/L977,0))</f>
        <v/>
      </c>
      <c r="N977" t="inlineStr"/>
    </row>
    <row r="978">
      <c r="A978" t="n">
        <v>217</v>
      </c>
      <c r="B978" t="inlineStr">
        <is>
          <t>Scales of Judgment</t>
        </is>
      </c>
      <c r="C978" t="inlineStr">
        <is>
          <t>Twilight of the End - Ring</t>
        </is>
      </c>
      <c r="D978" t="n">
        <v>0.13153531</v>
      </c>
      <c r="E978" t="n">
        <v>6716.5</v>
      </c>
      <c r="F978" s="3" t="n">
        <v>0.0195839067966947</v>
      </c>
      <c r="G978" t="n">
        <v>51062</v>
      </c>
      <c r="H978" s="3" t="n">
        <v>0.01686463293362449</v>
      </c>
      <c r="I978" s="3" t="n">
        <v>0.0226167443024987</v>
      </c>
      <c r="J978" t="n">
        <v>185.2</v>
      </c>
      <c r="K978">
        <f>IF(IFERROR(INDEX(Spots!$K$2:$K$96,MATCH(A978,Spots!$A$2:$A$96,0)),"")="","",IFERROR(INDEX(Spots!$K$2:$K$96,MATCH(A978,Spots!$A$2:$A$96,0)),""))</f>
        <v/>
      </c>
      <c r="L978" s="3">
        <f>IF(OR(K978="",F978=""),"",F978/1000*K978*100)</f>
        <v/>
      </c>
      <c r="M978">
        <f>IF(OR(L978="",L978=0),"",ROUND(100/L978,0))</f>
        <v/>
      </c>
      <c r="N978" t="inlineStr"/>
    </row>
    <row r="979">
      <c r="A979" t="n">
        <v>217</v>
      </c>
      <c r="B979" t="inlineStr">
        <is>
          <t>Scales of Judgment</t>
        </is>
      </c>
      <c r="C979" t="inlineStr">
        <is>
          <t>Twilight of the End - Earring</t>
        </is>
      </c>
      <c r="D979" t="n">
        <v>0.13073143</v>
      </c>
      <c r="E979" t="n">
        <v>6716.5</v>
      </c>
      <c r="F979" s="3" t="n">
        <v>0.01946421945953994</v>
      </c>
      <c r="G979" t="n">
        <v>51376</v>
      </c>
      <c r="H979" s="3" t="n">
        <v>0.01675358121612652</v>
      </c>
      <c r="I979" s="3" t="n">
        <v>0.0224884439233882</v>
      </c>
      <c r="J979" t="n">
        <v>184.1</v>
      </c>
      <c r="K979">
        <f>IF(IFERROR(INDEX(Spots!$K$2:$K$96,MATCH(A979,Spots!$A$2:$A$96,0)),"")="","",IFERROR(INDEX(Spots!$K$2:$K$96,MATCH(A979,Spots!$A$2:$A$96,0)),""))</f>
        <v/>
      </c>
      <c r="L979" s="3">
        <f>IF(OR(K979="",F979=""),"",F979/1000*K979*100)</f>
        <v/>
      </c>
      <c r="M979">
        <f>IF(OR(L979="",L979=0),"",ROUND(100/L979,0))</f>
        <v/>
      </c>
      <c r="N979" t="inlineStr"/>
    </row>
    <row r="980">
      <c r="A980" t="n">
        <v>217</v>
      </c>
      <c r="B980" t="inlineStr">
        <is>
          <t>Scales of Judgment</t>
        </is>
      </c>
      <c r="C980" t="inlineStr">
        <is>
          <t>Sunset Primordial Luster - Edana</t>
        </is>
      </c>
      <c r="D980" t="n">
        <v>0.11108116</v>
      </c>
      <c r="E980" t="n">
        <v>6716.5</v>
      </c>
      <c r="F980" s="3" t="n">
        <v>0.01653854835107571</v>
      </c>
      <c r="G980" t="n">
        <v>60465</v>
      </c>
      <c r="H980" s="3" t="n">
        <v>0.01404793700991426</v>
      </c>
      <c r="I980" s="3" t="n">
        <v>0.01934337082731558</v>
      </c>
      <c r="J980" t="n">
        <v>156.4</v>
      </c>
      <c r="K980">
        <f>IF(IFERROR(INDEX(Spots!$K$2:$K$96,MATCH(A980,Spots!$A$2:$A$96,0)),"")="","",IFERROR(INDEX(Spots!$K$2:$K$96,MATCH(A980,Spots!$A$2:$A$96,0)),""))</f>
        <v/>
      </c>
      <c r="L980" s="3">
        <f>IF(OR(K980="",F980=""),"",F980/1000*K980*100)</f>
        <v/>
      </c>
      <c r="M980">
        <f>IF(OR(L980="",L980=0),"",ROUND(100/L980,0))</f>
        <v/>
      </c>
      <c r="N980" t="inlineStr"/>
    </row>
    <row r="981">
      <c r="A981" t="n">
        <v>217</v>
      </c>
      <c r="B981" t="inlineStr">
        <is>
          <t>Scales of Judgment</t>
        </is>
      </c>
      <c r="C981" t="inlineStr">
        <is>
          <t>White Primordial Luster - Sovereign</t>
        </is>
      </c>
      <c r="D981" t="n">
        <v>0.09573843</v>
      </c>
      <c r="E981" t="n">
        <v>6716.5</v>
      </c>
      <c r="F981" s="3" t="n">
        <v>0.01425421424849252</v>
      </c>
      <c r="G981" t="n">
        <v>70155</v>
      </c>
      <c r="H981" s="3" t="n">
        <v>0.01194935008920438</v>
      </c>
      <c r="I981" s="3" t="n">
        <v>0.01687390397765104</v>
      </c>
      <c r="J981" t="n">
        <v>134.8</v>
      </c>
      <c r="K981">
        <f>IF(IFERROR(INDEX(Spots!$K$2:$K$96,MATCH(A981,Spots!$A$2:$A$96,0)),"")="","",IFERROR(INDEX(Spots!$K$2:$K$96,MATCH(A981,Spots!$A$2:$A$96,0)),""))</f>
        <v/>
      </c>
      <c r="L981" s="3">
        <f>IF(OR(K981="",F981=""),"",F981/1000*K981*100)</f>
        <v/>
      </c>
      <c r="M981">
        <f>IF(OR(L981="",L981=0),"",ROUND(100/L981,0))</f>
        <v/>
      </c>
      <c r="N981" t="inlineStr"/>
    </row>
    <row r="982">
      <c r="A982" t="n">
        <v>217</v>
      </c>
      <c r="B982" t="inlineStr">
        <is>
          <t>Scales of Judgment</t>
        </is>
      </c>
      <c r="C982" t="inlineStr">
        <is>
          <t>White Primordial Luster - Edana</t>
        </is>
      </c>
      <c r="D982" t="n">
        <v>0.09321641999999999</v>
      </c>
      <c r="E982" t="n">
        <v>6716.5</v>
      </c>
      <c r="F982" s="3" t="n">
        <v>0.01387871957120524</v>
      </c>
      <c r="G982" t="n">
        <v>72053</v>
      </c>
      <c r="H982" s="3" t="n">
        <v>0.01160577898778949</v>
      </c>
      <c r="I982" s="3" t="n">
        <v>0.01646660077315839</v>
      </c>
      <c r="J982" t="n">
        <v>131.2</v>
      </c>
      <c r="K982">
        <f>IF(IFERROR(INDEX(Spots!$K$2:$K$96,MATCH(A982,Spots!$A$2:$A$96,0)),"")="","",IFERROR(INDEX(Spots!$K$2:$K$96,MATCH(A982,Spots!$A$2:$A$96,0)),""))</f>
        <v/>
      </c>
      <c r="L982" s="3">
        <f>IF(OR(K982="",F982=""),"",F982/1000*K982*100)</f>
        <v/>
      </c>
      <c r="M982">
        <f>IF(OR(L982="",L982=0),"",ROUND(100/L982,0))</f>
        <v/>
      </c>
      <c r="N982" t="inlineStr"/>
    </row>
    <row r="983">
      <c r="A983" t="n">
        <v>217</v>
      </c>
      <c r="B983" t="inlineStr">
        <is>
          <t>Scales of Judgment</t>
        </is>
      </c>
      <c r="C983" t="inlineStr">
        <is>
          <t>Silent Fragment of Origin</t>
        </is>
      </c>
      <c r="D983" t="n">
        <v>0.07988835</v>
      </c>
      <c r="E983" t="n">
        <v>6716.5</v>
      </c>
      <c r="F983" s="3" t="n">
        <v>0.01189434229137199</v>
      </c>
      <c r="G983" t="n">
        <v>84074</v>
      </c>
      <c r="H983" s="3" t="n">
        <v>0.009797797996732005</v>
      </c>
      <c r="I983" s="3" t="n">
        <v>0.01430652158446517</v>
      </c>
      <c r="J983" t="n">
        <v>112.5</v>
      </c>
      <c r="K983">
        <f>IF(IFERROR(INDEX(Spots!$K$2:$K$96,MATCH(A983,Spots!$A$2:$A$96,0)),"")="","",IFERROR(INDEX(Spots!$K$2:$K$96,MATCH(A983,Spots!$A$2:$A$96,0)),""))</f>
        <v/>
      </c>
      <c r="L983" s="3">
        <f>IF(OR(K983="",F983=""),"",F983/1000*K983*100)</f>
        <v/>
      </c>
      <c r="M983">
        <f>IF(OR(L983="",L983=0),"",ROUND(100/L983,0))</f>
        <v/>
      </c>
      <c r="N983" t="inlineStr"/>
    </row>
    <row r="984">
      <c r="A984" t="n">
        <v>217</v>
      </c>
      <c r="B984" t="inlineStr">
        <is>
          <t>Scales of Judgment</t>
        </is>
      </c>
      <c r="C984" t="inlineStr">
        <is>
          <t>Violet Primordial Luster - Sovereign</t>
        </is>
      </c>
      <c r="D984" t="n">
        <v>0.05885086</v>
      </c>
      <c r="E984" t="n">
        <v>6716.5</v>
      </c>
      <c r="F984" s="3" t="n">
        <v>0.008762132062830342</v>
      </c>
      <c r="G984" t="n">
        <v>114127</v>
      </c>
      <c r="H984" s="3" t="n">
        <v>0.006977308939699997</v>
      </c>
      <c r="I984" s="3" t="n">
        <v>0.01086412491446258</v>
      </c>
      <c r="J984" t="n">
        <v>82.90000000000001</v>
      </c>
      <c r="K984">
        <f>IF(IFERROR(INDEX(Spots!$K$2:$K$96,MATCH(A984,Spots!$A$2:$A$96,0)),"")="","",IFERROR(INDEX(Spots!$K$2:$K$96,MATCH(A984,Spots!$A$2:$A$96,0)),""))</f>
        <v/>
      </c>
      <c r="L984" s="3">
        <f>IF(OR(K984="",F984=""),"",F984/1000*K984*100)</f>
        <v/>
      </c>
      <c r="M984">
        <f>IF(OR(L984="",L984=0),"",ROUND(100/L984,0))</f>
        <v/>
      </c>
      <c r="N984" t="inlineStr"/>
    </row>
    <row r="985">
      <c r="A985" t="n">
        <v>217</v>
      </c>
      <c r="B985" t="inlineStr">
        <is>
          <t>Scales of Judgment</t>
        </is>
      </c>
      <c r="C985" t="inlineStr">
        <is>
          <t>Violet Primordial Luster - Edana</t>
        </is>
      </c>
      <c r="D985" t="n">
        <v>0.05805325</v>
      </c>
      <c r="E985" t="n">
        <v>6716.5</v>
      </c>
      <c r="F985" s="3" t="n">
        <v>0.008643378247599197</v>
      </c>
      <c r="G985" t="n">
        <v>115696</v>
      </c>
      <c r="H985" s="3" t="n">
        <v>0.006871394370409051</v>
      </c>
      <c r="I985" s="3" t="n">
        <v>0.01073260566655258</v>
      </c>
      <c r="J985" t="n">
        <v>81.7</v>
      </c>
      <c r="K985">
        <f>IF(IFERROR(INDEX(Spots!$K$2:$K$96,MATCH(A985,Spots!$A$2:$A$96,0)),"")="","",IFERROR(INDEX(Spots!$K$2:$K$96,MATCH(A985,Spots!$A$2:$A$96,0)),""))</f>
        <v/>
      </c>
      <c r="L985" s="3">
        <f>IF(OR(K985="",F985=""),"",F985/1000*K985*100)</f>
        <v/>
      </c>
      <c r="M985">
        <f>IF(OR(L985="",L985=0),"",ROUND(100/L985,0))</f>
        <v/>
      </c>
      <c r="N985" t="inlineStr"/>
    </row>
    <row r="986">
      <c r="A986" t="n">
        <v>217</v>
      </c>
      <c r="B986" t="inlineStr">
        <is>
          <t>Scales of Judgment</t>
        </is>
      </c>
      <c r="C986" t="inlineStr">
        <is>
          <t>Crimson Primordial Luster - Sovereign</t>
        </is>
      </c>
      <c r="D986" t="n">
        <v>0.05492228</v>
      </c>
      <c r="E986" t="n">
        <v>6716.5</v>
      </c>
      <c r="F986" s="3" t="n">
        <v>0.008177217300677437</v>
      </c>
      <c r="G986" t="n">
        <v>122291</v>
      </c>
      <c r="H986" s="3" t="n">
        <v>0.006456507875491389</v>
      </c>
      <c r="I986" s="3" t="n">
        <v>0.01021547507086663</v>
      </c>
      <c r="J986" t="n">
        <v>77.3</v>
      </c>
      <c r="K986">
        <f>IF(IFERROR(INDEX(Spots!$K$2:$K$96,MATCH(A986,Spots!$A$2:$A$96,0)),"")="","",IFERROR(INDEX(Spots!$K$2:$K$96,MATCH(A986,Spots!$A$2:$A$96,0)),""))</f>
        <v/>
      </c>
      <c r="L986" s="3">
        <f>IF(OR(K986="",F986=""),"",F986/1000*K986*100)</f>
        <v/>
      </c>
      <c r="M986">
        <f>IF(OR(L986="",L986=0),"",ROUND(100/L986,0))</f>
        <v/>
      </c>
      <c r="N986" t="inlineStr"/>
    </row>
    <row r="987">
      <c r="A987" t="n">
        <v>217</v>
      </c>
      <c r="B987" t="inlineStr">
        <is>
          <t>Scales of Judgment</t>
        </is>
      </c>
      <c r="C987" t="inlineStr">
        <is>
          <t>Refined Essence of Devouring</t>
        </is>
      </c>
      <c r="D987" t="n">
        <v>0.04464295</v>
      </c>
      <c r="E987" t="n">
        <v>6716.5</v>
      </c>
      <c r="F987" s="3" t="n">
        <v>0.006646757984069084</v>
      </c>
      <c r="G987" t="n">
        <v>150449</v>
      </c>
      <c r="H987" s="3" t="n">
        <v>0.005105608960373875</v>
      </c>
      <c r="I987" s="3" t="n">
        <v>0.008506667129519304</v>
      </c>
      <c r="J987" t="n">
        <v>62.9</v>
      </c>
      <c r="K987">
        <f>IF(IFERROR(INDEX(Spots!$K$2:$K$96,MATCH(A987,Spots!$A$2:$A$96,0)),"")="","",IFERROR(INDEX(Spots!$K$2:$K$96,MATCH(A987,Spots!$A$2:$A$96,0)),""))</f>
        <v/>
      </c>
      <c r="L987" s="3">
        <f>IF(OR(K987="",F987=""),"",F987/1000*K987*100)</f>
        <v/>
      </c>
      <c r="M987">
        <f>IF(OR(L987="",L987=0),"",ROUND(100/L987,0))</f>
        <v/>
      </c>
      <c r="N987" t="inlineStr"/>
    </row>
    <row r="988">
      <c r="A988" t="n">
        <v>217</v>
      </c>
      <c r="B988" t="inlineStr">
        <is>
          <t>Scales of Judgment</t>
        </is>
      </c>
      <c r="C988" t="inlineStr">
        <is>
          <t>HAN Wandering Origin Crystal</t>
        </is>
      </c>
      <c r="D988" t="n">
        <v>0.00730317</v>
      </c>
      <c r="E988" t="n">
        <v>6716.5</v>
      </c>
      <c r="F988" s="3" t="n">
        <v>0.00108734757686295</v>
      </c>
      <c r="G988" t="n">
        <v>919669</v>
      </c>
      <c r="H988" s="3" t="n">
        <v>0.0005268946103391122</v>
      </c>
      <c r="I988" s="3" t="n">
        <v>0.001983597202354078</v>
      </c>
      <c r="J988" t="n">
        <v>10.3</v>
      </c>
      <c r="K988">
        <f>IF(IFERROR(INDEX(Spots!$K$2:$K$96,MATCH(A988,Spots!$A$2:$A$96,0)),"")="","",IFERROR(INDEX(Spots!$K$2:$K$96,MATCH(A988,Spots!$A$2:$A$96,0)),""))</f>
        <v/>
      </c>
      <c r="L988" s="3">
        <f>IF(OR(K988="",F988=""),"",F988/1000*K988*100)</f>
        <v/>
      </c>
      <c r="M988">
        <f>IF(OR(L988="",L988=0),"",ROUND(100/L988,0))</f>
        <v/>
      </c>
      <c r="N988" t="inlineStr">
        <is>
          <t>low sample</t>
        </is>
      </c>
    </row>
    <row r="989">
      <c r="A989" t="n">
        <v>217</v>
      </c>
      <c r="B989" t="inlineStr">
        <is>
          <t>Scales of Judgment</t>
        </is>
      </c>
      <c r="C989" t="inlineStr">
        <is>
          <t>Broken Vestige of Everlight</t>
        </is>
      </c>
      <c r="D989" t="n">
        <v>0.00603085</v>
      </c>
      <c r="E989" t="n">
        <v>6716.5</v>
      </c>
      <c r="F989" s="3" t="n">
        <v>0.0008979155810317874</v>
      </c>
      <c r="G989" t="n">
        <v>1113690</v>
      </c>
      <c r="H989" s="3" t="n">
        <v>0.0003983887295520824</v>
      </c>
      <c r="I989" s="3" t="n">
        <v>0.001735897351569955</v>
      </c>
      <c r="J989" t="n">
        <v>8.5</v>
      </c>
      <c r="K989">
        <f>IF(IFERROR(INDEX(Spots!$K$2:$K$96,MATCH(A989,Spots!$A$2:$A$96,0)),"")="","",IFERROR(INDEX(Spots!$K$2:$K$96,MATCH(A989,Spots!$A$2:$A$96,0)),""))</f>
        <v/>
      </c>
      <c r="L989" s="3">
        <f>IF(OR(K989="",F989=""),"",F989/1000*K989*100)</f>
        <v/>
      </c>
      <c r="M989">
        <f>IF(OR(L989="",L989=0),"",ROUND(100/L989,0))</f>
        <v/>
      </c>
      <c r="N989" t="inlineStr">
        <is>
          <t>low sample</t>
        </is>
      </c>
    </row>
    <row r="990">
      <c r="A990" t="n">
        <v>217</v>
      </c>
      <c r="B990" t="inlineStr">
        <is>
          <t>Scales of Judgment</t>
        </is>
      </c>
      <c r="C990" t="inlineStr">
        <is>
          <t>Apeiron Earring</t>
        </is>
      </c>
      <c r="D990" t="n">
        <v>0.00476755</v>
      </c>
      <c r="E990" t="n">
        <v>6716.5</v>
      </c>
      <c r="F990" s="3" t="n">
        <v>0.0007098265465644307</v>
      </c>
      <c r="G990" t="n">
        <v>1408795</v>
      </c>
      <c r="H990" s="3" t="n">
        <v>0.0002775862419481471</v>
      </c>
      <c r="I990" s="3" t="n">
        <v>0.001484048148372423</v>
      </c>
      <c r="J990" t="n">
        <v>6.7</v>
      </c>
      <c r="K990">
        <f>IF(IFERROR(INDEX(Spots!$K$2:$K$96,MATCH(A990,Spots!$A$2:$A$96,0)),"")="","",IFERROR(INDEX(Spots!$K$2:$K$96,MATCH(A990,Spots!$A$2:$A$96,0)),""))</f>
        <v/>
      </c>
      <c r="L990" s="3">
        <f>IF(OR(K990="",F990=""),"",F990/1000*K990*100)</f>
        <v/>
      </c>
      <c r="M990">
        <f>IF(OR(L990="",L990=0),"",ROUND(100/L990,0))</f>
        <v/>
      </c>
      <c r="N990" t="inlineStr">
        <is>
          <t>low sample</t>
        </is>
      </c>
    </row>
    <row r="991">
      <c r="A991" t="n">
        <v>217</v>
      </c>
      <c r="B991" t="inlineStr">
        <is>
          <t>Scales of Judgment</t>
        </is>
      </c>
      <c r="C991" t="inlineStr">
        <is>
          <t>Refined Origin of Hunger</t>
        </is>
      </c>
      <c r="D991" t="n">
        <v>0.00460148</v>
      </c>
      <c r="E991" t="n">
        <v>6716.5</v>
      </c>
      <c r="F991" s="3" t="n">
        <v>0.0006851008709893545</v>
      </c>
      <c r="G991" t="n">
        <v>1459639</v>
      </c>
      <c r="H991" s="3" t="n">
        <v>0.0002623423443434895</v>
      </c>
      <c r="I991" s="3" t="n">
        <v>0.001450397906649868</v>
      </c>
      <c r="J991" t="n">
        <v>6.5</v>
      </c>
      <c r="K991">
        <f>IF(IFERROR(INDEX(Spots!$K$2:$K$96,MATCH(A991,Spots!$A$2:$A$96,0)),"")="","",IFERROR(INDEX(Spots!$K$2:$K$96,MATCH(A991,Spots!$A$2:$A$96,0)),""))</f>
        <v/>
      </c>
      <c r="L991" s="3">
        <f>IF(OR(K991="",F991=""),"",F991/1000*K991*100)</f>
        <v/>
      </c>
      <c r="M991">
        <f>IF(OR(L991="",L991=0),"",ROUND(100/L991,0))</f>
        <v/>
      </c>
      <c r="N991" t="inlineStr">
        <is>
          <t>low sample</t>
        </is>
      </c>
    </row>
    <row r="992">
      <c r="A992" t="n">
        <v>217</v>
      </c>
      <c r="B992" t="inlineStr">
        <is>
          <t>Scales of Judgment</t>
        </is>
      </c>
      <c r="C992" t="inlineStr">
        <is>
          <t>Apeiron Belt</t>
        </is>
      </c>
      <c r="D992" t="n">
        <v>0.00454416</v>
      </c>
      <c r="E992" t="n">
        <v>6716.5</v>
      </c>
      <c r="F992" s="3" t="n">
        <v>0.0006765666641852155</v>
      </c>
      <c r="G992" t="n">
        <v>1478051</v>
      </c>
      <c r="H992" s="3" t="n">
        <v>0.0002571205031616258</v>
      </c>
      <c r="I992" s="3" t="n">
        <v>0.001438749926776869</v>
      </c>
      <c r="J992" t="n">
        <v>6.4</v>
      </c>
      <c r="K992">
        <f>IF(IFERROR(INDEX(Spots!$K$2:$K$96,MATCH(A992,Spots!$A$2:$A$96,0)),"")="","",IFERROR(INDEX(Spots!$K$2:$K$96,MATCH(A992,Spots!$A$2:$A$96,0)),""))</f>
        <v/>
      </c>
      <c r="L992" s="3">
        <f>IF(OR(K992="",F992=""),"",F992/1000*K992*100)</f>
        <v/>
      </c>
      <c r="M992">
        <f>IF(OR(L992="",L992=0),"",ROUND(100/L992,0))</f>
        <v/>
      </c>
      <c r="N992" t="inlineStr">
        <is>
          <t>low sample</t>
        </is>
      </c>
    </row>
    <row r="993">
      <c r="A993" t="n">
        <v>217</v>
      </c>
      <c r="B993" t="inlineStr">
        <is>
          <t>Scales of Judgment</t>
        </is>
      </c>
      <c r="C993" t="inlineStr">
        <is>
          <t>Apeiron Necklace</t>
        </is>
      </c>
      <c r="D993" t="n">
        <v>0.00364165</v>
      </c>
      <c r="E993" t="n">
        <v>6716.5</v>
      </c>
      <c r="F993" s="3" t="n">
        <v>0.0005421945953993896</v>
      </c>
      <c r="G993" t="n">
        <v>1844356</v>
      </c>
      <c r="H993" s="3" t="n">
        <v>0.000177959880790217</v>
      </c>
      <c r="I993" s="3" t="n">
        <v>0.001252810024042695</v>
      </c>
      <c r="J993" t="n">
        <v>5.1</v>
      </c>
      <c r="K993">
        <f>IF(IFERROR(INDEX(Spots!$K$2:$K$96,MATCH(A993,Spots!$A$2:$A$96,0)),"")="","",IFERROR(INDEX(Spots!$K$2:$K$96,MATCH(A993,Spots!$A$2:$A$96,0)),""))</f>
        <v/>
      </c>
      <c r="L993" s="3">
        <f>IF(OR(K993="",F993=""),"",F993/1000*K993*100)</f>
        <v/>
      </c>
      <c r="M993">
        <f>IF(OR(L993="",L993=0),"",ROUND(100/L993,0))</f>
        <v/>
      </c>
      <c r="N993" t="inlineStr">
        <is>
          <t>low sample</t>
        </is>
      </c>
    </row>
    <row r="994">
      <c r="A994" t="n">
        <v>217</v>
      </c>
      <c r="B994" t="inlineStr">
        <is>
          <t>Scales of Judgment</t>
        </is>
      </c>
      <c r="C994" t="inlineStr">
        <is>
          <t>Apeiron Ring</t>
        </is>
      </c>
      <c r="D994" t="n">
        <v>0.00342482</v>
      </c>
      <c r="E994" t="n">
        <v>6716.5</v>
      </c>
      <c r="F994" s="3" t="n">
        <v>0.000509911412193851</v>
      </c>
      <c r="G994" t="n">
        <v>1961125</v>
      </c>
      <c r="H994" s="3" t="n">
        <v>0.000159931821303243</v>
      </c>
      <c r="I994" s="3" t="n">
        <v>0.001207326943631425</v>
      </c>
      <c r="J994" t="n">
        <v>4.8</v>
      </c>
      <c r="K994">
        <f>IF(IFERROR(INDEX(Spots!$K$2:$K$96,MATCH(A994,Spots!$A$2:$A$96,0)),"")="","",IFERROR(INDEX(Spots!$K$2:$K$96,MATCH(A994,Spots!$A$2:$A$96,0)),""))</f>
        <v/>
      </c>
      <c r="L994" s="3">
        <f>IF(OR(K994="",F994=""),"",F994/1000*K994*100)</f>
        <v/>
      </c>
      <c r="M994">
        <f>IF(OR(L994="",L994=0),"",ROUND(100/L994,0))</f>
        <v/>
      </c>
      <c r="N994" t="inlineStr">
        <is>
          <t>low sample</t>
        </is>
      </c>
    </row>
    <row r="995">
      <c r="A995" t="n">
        <v>217</v>
      </c>
      <c r="B995" t="inlineStr">
        <is>
          <t>Scales of Judgment</t>
        </is>
      </c>
      <c r="C995" t="inlineStr">
        <is>
          <t>Embers of Ynix - Gloves</t>
        </is>
      </c>
      <c r="D995" t="n">
        <v>0.00332252</v>
      </c>
      <c r="E995" t="n">
        <v>6716.5</v>
      </c>
      <c r="F995" s="3" t="n">
        <v>0.0004946802650189831</v>
      </c>
      <c r="G995" t="n">
        <v>2021508</v>
      </c>
      <c r="H995" s="3" t="n">
        <v>0.0001515822389647113</v>
      </c>
      <c r="I995" s="3" t="n">
        <v>0.001185742572952463</v>
      </c>
      <c r="J995" t="n">
        <v>4.7</v>
      </c>
      <c r="K995">
        <f>IF(IFERROR(INDEX(Spots!$K$2:$K$96,MATCH(A995,Spots!$A$2:$A$96,0)),"")="","",IFERROR(INDEX(Spots!$K$2:$K$96,MATCH(A995,Spots!$A$2:$A$96,0)),""))</f>
        <v/>
      </c>
      <c r="L995" s="3">
        <f>IF(OR(K995="",F995=""),"",F995/1000*K995*100)</f>
        <v/>
      </c>
      <c r="M995">
        <f>IF(OR(L995="",L995=0),"",ROUND(100/L995,0))</f>
        <v/>
      </c>
      <c r="N995" t="inlineStr">
        <is>
          <t>low sample</t>
        </is>
      </c>
    </row>
    <row r="996">
      <c r="A996" t="n">
        <v>217</v>
      </c>
      <c r="B996" t="inlineStr">
        <is>
          <t>Scales of Judgment</t>
        </is>
      </c>
      <c r="C996" t="inlineStr">
        <is>
          <t>Silent Crystal of Origin</t>
        </is>
      </c>
      <c r="D996" t="n">
        <v>0.00234254</v>
      </c>
      <c r="E996" t="n">
        <v>6716.5</v>
      </c>
      <c r="F996" s="3" t="n">
        <v>0.0003487739149854835</v>
      </c>
      <c r="G996" t="n">
        <v>2867187</v>
      </c>
      <c r="H996" s="3" t="n">
        <v>7.783479596057925e-05</v>
      </c>
      <c r="I996" s="3" t="n">
        <v>0.0009740860309193514</v>
      </c>
      <c r="J996" t="n">
        <v>3.3</v>
      </c>
      <c r="K996">
        <f>IF(IFERROR(INDEX(Spots!$K$2:$K$96,MATCH(A996,Spots!$A$2:$A$96,0)),"")="","",IFERROR(INDEX(Spots!$K$2:$K$96,MATCH(A996,Spots!$A$2:$A$96,0)),""))</f>
        <v/>
      </c>
      <c r="L996" s="3">
        <f>IF(OR(K996="",F996=""),"",F996/1000*K996*100)</f>
        <v/>
      </c>
      <c r="M996">
        <f>IF(OR(L996="",L996=0),"",ROUND(100/L996,0))</f>
        <v/>
      </c>
      <c r="N996" t="inlineStr">
        <is>
          <t>low sample</t>
        </is>
      </c>
    </row>
    <row r="997">
      <c r="A997" t="n">
        <v>217</v>
      </c>
      <c r="B997" t="inlineStr">
        <is>
          <t>Scales of Judgment</t>
        </is>
      </c>
      <c r="C997" t="inlineStr">
        <is>
          <t>White Primordial Pigment - Sovereign</t>
        </is>
      </c>
      <c r="D997" t="n">
        <v>0.00122072</v>
      </c>
      <c r="E997" t="n">
        <v>6716.5</v>
      </c>
      <c r="F997" s="3" t="n">
        <v>0.000181749423062607</v>
      </c>
      <c r="G997" t="n">
        <v>5502081</v>
      </c>
      <c r="H997" s="3" t="n">
        <v>1.516799344416081e-05</v>
      </c>
      <c r="I997" s="3" t="n">
        <v>0.0007158187951347449</v>
      </c>
      <c r="J997" t="n">
        <v>1.7</v>
      </c>
      <c r="K997">
        <f>IF(IFERROR(INDEX(Spots!$K$2:$K$96,MATCH(A997,Spots!$A$2:$A$96,0)),"")="","",IFERROR(INDEX(Spots!$K$2:$K$96,MATCH(A997,Spots!$A$2:$A$96,0)),""))</f>
        <v/>
      </c>
      <c r="L997" s="3">
        <f>IF(OR(K997="",F997=""),"",F997/1000*K997*100)</f>
        <v/>
      </c>
      <c r="M997">
        <f>IF(OR(L997="",L997=0),"",ROUND(100/L997,0))</f>
        <v/>
      </c>
      <c r="N997" t="inlineStr">
        <is>
          <t>low sample</t>
        </is>
      </c>
    </row>
    <row r="998">
      <c r="A998" t="n">
        <v>217</v>
      </c>
      <c r="B998" t="inlineStr">
        <is>
          <t>Scales of Judgment</t>
        </is>
      </c>
      <c r="C998" t="inlineStr">
        <is>
          <t>White Primordial Pigment - Edana</t>
        </is>
      </c>
      <c r="D998" t="n">
        <v>0.00097234</v>
      </c>
      <c r="E998" t="n">
        <v>6716.5</v>
      </c>
      <c r="F998" s="3" t="n">
        <v>0.0001447688528251322</v>
      </c>
      <c r="G998" t="n">
        <v>6907563</v>
      </c>
      <c r="H998" s="3" t="n">
        <v>6.779989438060522e-06</v>
      </c>
      <c r="I998" s="3" t="n">
        <v>0.0006549067089013132</v>
      </c>
      <c r="J998" t="n">
        <v>1.4</v>
      </c>
      <c r="K998">
        <f>IF(IFERROR(INDEX(Spots!$K$2:$K$96,MATCH(A998,Spots!$A$2:$A$96,0)),"")="","",IFERROR(INDEX(Spots!$K$2:$K$96,MATCH(A998,Spots!$A$2:$A$96,0)),""))</f>
        <v/>
      </c>
      <c r="L998" s="3">
        <f>IF(OR(K998="",F998=""),"",F998/1000*K998*100)</f>
        <v/>
      </c>
      <c r="M998">
        <f>IF(OR(L998="",L998=0),"",ROUND(100/L998,0))</f>
        <v/>
      </c>
      <c r="N998" t="inlineStr">
        <is>
          <t>low sample</t>
        </is>
      </c>
    </row>
    <row r="999">
      <c r="A999" t="n">
        <v>217</v>
      </c>
      <c r="B999" t="inlineStr">
        <is>
          <t>Scales of Judgment</t>
        </is>
      </c>
      <c r="C999" t="inlineStr">
        <is>
          <t>Sunset Primordial Pigment - Edana</t>
        </is>
      </c>
      <c r="D999" t="n">
        <v>0.00029905</v>
      </c>
      <c r="E999" t="n">
        <v>6716.5</v>
      </c>
      <c r="F999" s="3" t="n">
        <v>4.452467803171294e-05</v>
      </c>
      <c r="G999" t="n">
        <v>22459455</v>
      </c>
      <c r="H999" s="3" t="n">
        <v>0</v>
      </c>
      <c r="I999" s="3" t="n">
        <v>0.0004772194995910878</v>
      </c>
      <c r="J999" t="n">
        <v>0.4</v>
      </c>
      <c r="K999">
        <f>IF(IFERROR(INDEX(Spots!$K$2:$K$96,MATCH(A999,Spots!$A$2:$A$96,0)),"")="","",IFERROR(INDEX(Spots!$K$2:$K$96,MATCH(A999,Spots!$A$2:$A$96,0)),""))</f>
        <v/>
      </c>
      <c r="L999" s="3">
        <f>IF(OR(K999="",F999=""),"",F999/1000*K999*100)</f>
        <v/>
      </c>
      <c r="M999">
        <f>IF(OR(L999="",L999=0),"",ROUND(100/L999,0))</f>
        <v/>
      </c>
      <c r="N999" t="inlineStr">
        <is>
          <t>low sample</t>
        </is>
      </c>
    </row>
    <row r="1000">
      <c r="A1000" t="n">
        <v>217</v>
      </c>
      <c r="B1000" t="inlineStr">
        <is>
          <t>Scales of Judgment</t>
        </is>
      </c>
      <c r="C1000" t="inlineStr">
        <is>
          <t>Violet Primordial Pigment - Sovereign</t>
        </is>
      </c>
      <c r="D1000" t="n">
        <v>0.00014953</v>
      </c>
      <c r="E1000" t="n">
        <v>6716.5</v>
      </c>
      <c r="F1000" s="3" t="n">
        <v>2.226308345120226e-05</v>
      </c>
      <c r="G1000" t="n">
        <v>44917408</v>
      </c>
      <c r="H1000" s="3" t="n">
        <v>0</v>
      </c>
      <c r="I1000" s="3" t="n">
        <v>0.000433784990772311</v>
      </c>
      <c r="J1000" t="n">
        <v>0.2</v>
      </c>
      <c r="K1000">
        <f>IF(IFERROR(INDEX(Spots!$K$2:$K$96,MATCH(A1000,Spots!$A$2:$A$96,0)),"")="","",IFERROR(INDEX(Spots!$K$2:$K$96,MATCH(A1000,Spots!$A$2:$A$96,0)),""))</f>
        <v/>
      </c>
      <c r="L1000" s="3">
        <f>IF(OR(K1000="",F1000=""),"",F1000/1000*K1000*100)</f>
        <v/>
      </c>
      <c r="M1000">
        <f>IF(OR(L1000="",L1000=0),"",ROUND(100/L1000,0))</f>
        <v/>
      </c>
      <c r="N1000" t="inlineStr">
        <is>
          <t>low sample</t>
        </is>
      </c>
    </row>
    <row r="1001">
      <c r="A1001" t="n">
        <v>217</v>
      </c>
      <c r="B1001" t="inlineStr">
        <is>
          <t>Scales of Judgment</t>
        </is>
      </c>
      <c r="C1001" t="inlineStr">
        <is>
          <t>Violet Primordial Pigment - Edana</t>
        </is>
      </c>
      <c r="D1001" t="n">
        <v>0.00014349</v>
      </c>
      <c r="E1001" t="n">
        <v>6716.5</v>
      </c>
      <c r="F1001" s="3" t="n">
        <v>2.136380555348768e-05</v>
      </c>
      <c r="G1001" t="n">
        <v>46808140</v>
      </c>
      <c r="H1001" s="3" t="n">
        <v>0</v>
      </c>
      <c r="I1001" s="3" t="n">
        <v>0.000431984100621574</v>
      </c>
      <c r="J1001" t="n">
        <v>0.2</v>
      </c>
      <c r="K1001">
        <f>IF(IFERROR(INDEX(Spots!$K$2:$K$96,MATCH(A1001,Spots!$A$2:$A$96,0)),"")="","",IFERROR(INDEX(Spots!$K$2:$K$96,MATCH(A1001,Spots!$A$2:$A$96,0)),""))</f>
        <v/>
      </c>
      <c r="L1001" s="3">
        <f>IF(OR(K1001="",F1001=""),"",F1001/1000*K1001*100)</f>
        <v/>
      </c>
      <c r="M1001">
        <f>IF(OR(L1001="",L1001=0),"",ROUND(100/L1001,0))</f>
        <v/>
      </c>
      <c r="N1001" t="inlineStr">
        <is>
          <t>low sample</t>
        </is>
      </c>
    </row>
    <row r="1002">
      <c r="A1002" t="n">
        <v>217</v>
      </c>
      <c r="B1002" t="inlineStr">
        <is>
          <t>Scales of Judgment</t>
        </is>
      </c>
      <c r="C1002" t="inlineStr">
        <is>
          <t>Crimson Primordial Pigment - Sovereign</t>
        </is>
      </c>
      <c r="D1002" t="n">
        <v>0</v>
      </c>
      <c r="E1002" t="n">
        <v>6716.5</v>
      </c>
      <c r="F1002" s="3" t="n">
        <v>0</v>
      </c>
      <c r="H1002" s="3" t="n">
        <v>0</v>
      </c>
      <c r="I1002" s="3" t="n">
        <v>0.0003901022040015788</v>
      </c>
      <c r="J1002" t="n">
        <v>0</v>
      </c>
      <c r="K1002">
        <f>IF(IFERROR(INDEX(Spots!$K$2:$K$96,MATCH(A1002,Spots!$A$2:$A$96,0)),"")="","",IFERROR(INDEX(Spots!$K$2:$K$96,MATCH(A1002,Spots!$A$2:$A$96,0)),""))</f>
        <v/>
      </c>
      <c r="L1002" s="3">
        <f>IF(OR(K1002="",F1002=""),"",F1002/1000*K1002*100)</f>
        <v/>
      </c>
      <c r="M1002">
        <f>IF(OR(L1002="",L1002=0),"",ROUND(100/L1002,0))</f>
        <v/>
      </c>
      <c r="N1002" t="inlineStr">
        <is>
          <t>no drops recorded</t>
        </is>
      </c>
    </row>
    <row r="1003">
      <c r="A1003" t="n">
        <v>23</v>
      </c>
      <c r="B1003" t="inlineStr">
        <is>
          <t>Sherekhan (Day)</t>
        </is>
      </c>
      <c r="C1003" t="inlineStr">
        <is>
          <t>Black Stone</t>
        </is>
      </c>
      <c r="D1003" t="n">
        <v>21.011</v>
      </c>
      <c r="E1003" t="n">
        <v>7438.9</v>
      </c>
      <c r="F1003" s="3" t="n">
        <v>2.824476737151998</v>
      </c>
      <c r="G1003" t="n">
        <v>354</v>
      </c>
      <c r="H1003" s="3" t="n">
        <v>2.728746228353214</v>
      </c>
      <c r="I1003" s="3" t="n">
        <v>2.922708333933986</v>
      </c>
      <c r="J1003" t="n">
        <v>3287.9</v>
      </c>
      <c r="K1003">
        <f>IF(IFERROR(INDEX(Spots!$K$2:$K$96,MATCH(A1003,Spots!$A$2:$A$96,0)),"")="","",IFERROR(INDEX(Spots!$K$2:$K$96,MATCH(A1003,Spots!$A$2:$A$96,0)),""))</f>
        <v/>
      </c>
      <c r="L1003" s="3">
        <f>IF(OR(K1003="",F1003=""),"",F1003/1000*K1003*100)</f>
        <v/>
      </c>
      <c r="M1003">
        <f>IF(OR(L1003="",L1003=0),"",ROUND(100/L1003,0))</f>
        <v/>
      </c>
      <c r="N1003" t="inlineStr"/>
    </row>
    <row r="1004">
      <c r="A1004" t="n">
        <v>23</v>
      </c>
      <c r="B1004" t="inlineStr">
        <is>
          <t>Sherekhan (Day)</t>
        </is>
      </c>
      <c r="C1004" t="inlineStr">
        <is>
          <t>Dragon Scale Fossil</t>
        </is>
      </c>
      <c r="D1004" t="n">
        <v>20.027</v>
      </c>
      <c r="E1004" t="n">
        <v>7438.9</v>
      </c>
      <c r="F1004" s="3" t="n">
        <v>2.692199115460619</v>
      </c>
      <c r="G1004" t="n">
        <v>371</v>
      </c>
      <c r="H1004" s="3" t="n">
        <v>2.59875653326951</v>
      </c>
      <c r="I1004" s="3" t="n">
        <v>2.788143139247733</v>
      </c>
      <c r="J1004" t="n">
        <v>3133.9</v>
      </c>
      <c r="K1004">
        <f>IF(IFERROR(INDEX(Spots!$K$2:$K$96,MATCH(A1004,Spots!$A$2:$A$96,0)),"")="","",IFERROR(INDEX(Spots!$K$2:$K$96,MATCH(A1004,Spots!$A$2:$A$96,0)),""))</f>
        <v/>
      </c>
      <c r="L1004" s="3">
        <f>IF(OR(K1004="",F1004=""),"",F1004/1000*K1004*100)</f>
        <v/>
      </c>
      <c r="M1004">
        <f>IF(OR(L1004="",L1004=0),"",ROUND(100/L1004,0))</f>
        <v/>
      </c>
      <c r="N1004" t="inlineStr"/>
    </row>
    <row r="1005">
      <c r="A1005" t="n">
        <v>23</v>
      </c>
      <c r="B1005" t="inlineStr">
        <is>
          <t>Sherekhan (Day)</t>
        </is>
      </c>
      <c r="C1005" t="inlineStr">
        <is>
          <t>Trace of Nature</t>
        </is>
      </c>
      <c r="D1005" t="n">
        <v>10.634</v>
      </c>
      <c r="E1005" t="n">
        <v>7438.9</v>
      </c>
      <c r="F1005" s="3" t="n">
        <v>1.429512427912729</v>
      </c>
      <c r="G1005" t="n">
        <v>700</v>
      </c>
      <c r="H1005" s="3" t="n">
        <v>1.361644416371064</v>
      </c>
      <c r="I1005" s="3" t="n">
        <v>1.499887428185585</v>
      </c>
      <c r="J1005" t="n">
        <v>1664</v>
      </c>
      <c r="K1005">
        <f>IF(IFERROR(INDEX(Spots!$K$2:$K$96,MATCH(A1005,Spots!$A$2:$A$96,0)),"")="","",IFERROR(INDEX(Spots!$K$2:$K$96,MATCH(A1005,Spots!$A$2:$A$96,0)),""))</f>
        <v/>
      </c>
      <c r="L1005" s="3">
        <f>IF(OR(K1005="",F1005=""),"",F1005/1000*K1005*100)</f>
        <v/>
      </c>
      <c r="M1005">
        <f>IF(OR(L1005="",L1005=0),"",ROUND(100/L1005,0))</f>
        <v/>
      </c>
      <c r="N1005" t="inlineStr"/>
    </row>
    <row r="1006">
      <c r="A1006" t="n">
        <v>23</v>
      </c>
      <c r="B1006" t="inlineStr">
        <is>
          <t>Sherekhan (Day)</t>
        </is>
      </c>
      <c r="C1006" t="inlineStr">
        <is>
          <t>Ancient Spirit Dust</t>
        </is>
      </c>
      <c r="D1006" t="n">
        <v>10.441</v>
      </c>
      <c r="E1006" t="n">
        <v>7438.9</v>
      </c>
      <c r="F1006" s="3" t="n">
        <v>1.403567731788302</v>
      </c>
      <c r="G1006" t="n">
        <v>712</v>
      </c>
      <c r="H1006" s="3" t="n">
        <v>1.336325896698371</v>
      </c>
      <c r="I1006" s="3" t="n">
        <v>1.47331674341435</v>
      </c>
      <c r="J1006" t="n">
        <v>1633.8</v>
      </c>
      <c r="K1006">
        <f>IF(IFERROR(INDEX(Spots!$K$2:$K$96,MATCH(A1006,Spots!$A$2:$A$96,0)),"")="","",IFERROR(INDEX(Spots!$K$2:$K$96,MATCH(A1006,Spots!$A$2:$A$96,0)),""))</f>
        <v/>
      </c>
      <c r="L1006" s="3">
        <f>IF(OR(K1006="",F1006=""),"",F1006/1000*K1006*100)</f>
        <v/>
      </c>
      <c r="M1006">
        <f>IF(OR(L1006="",L1006=0),"",ROUND(100/L1006,0))</f>
        <v/>
      </c>
      <c r="N1006" t="inlineStr"/>
    </row>
    <row r="1007">
      <c r="A1007" t="n">
        <v>23</v>
      </c>
      <c r="B1007" t="inlineStr">
        <is>
          <t>Sherekhan (Day)</t>
        </is>
      </c>
      <c r="C1007" t="inlineStr">
        <is>
          <t>Caphras Stone</t>
        </is>
      </c>
      <c r="D1007" t="n">
        <v>7.580145</v>
      </c>
      <c r="E1007" t="n">
        <v>7438.9</v>
      </c>
      <c r="F1007" s="3" t="n">
        <v>1.018987350280283</v>
      </c>
      <c r="G1007" t="n">
        <v>981</v>
      </c>
      <c r="H1007" s="3" t="n">
        <v>0.9618150224123218</v>
      </c>
      <c r="I1007" s="3" t="n">
        <v>1.078670428006572</v>
      </c>
      <c r="J1007" t="n">
        <v>1186.2</v>
      </c>
      <c r="K1007">
        <f>IF(IFERROR(INDEX(Spots!$K$2:$K$96,MATCH(A1007,Spots!$A$2:$A$96,0)),"")="","",IFERROR(INDEX(Spots!$K$2:$K$96,MATCH(A1007,Spots!$A$2:$A$96,0)),""))</f>
        <v/>
      </c>
      <c r="L1007" s="3">
        <f>IF(OR(K1007="",F1007=""),"",F1007/1000*K1007*100)</f>
        <v/>
      </c>
      <c r="M1007">
        <f>IF(OR(L1007="",L1007=0),"",ROUND(100/L1007,0))</f>
        <v/>
      </c>
      <c r="N1007" t="inlineStr"/>
    </row>
    <row r="1008">
      <c r="A1008" t="n">
        <v>23</v>
      </c>
      <c r="B1008" t="inlineStr">
        <is>
          <t>Sherekhan (Day)</t>
        </is>
      </c>
      <c r="C1008" t="inlineStr">
        <is>
          <t>Garmoth's Scale</t>
        </is>
      </c>
      <c r="D1008" t="n">
        <v>3.64141</v>
      </c>
      <c r="E1008" t="n">
        <v>7438.9</v>
      </c>
      <c r="F1008" s="3" t="n">
        <v>0.4895092016292731</v>
      </c>
      <c r="G1008" t="n">
        <v>2043</v>
      </c>
      <c r="H1008" s="3" t="n">
        <v>0.4501355964847968</v>
      </c>
      <c r="I1008" s="3" t="n">
        <v>0.5314042086636331</v>
      </c>
      <c r="J1008" t="n">
        <v>569.8</v>
      </c>
      <c r="K1008">
        <f>IF(IFERROR(INDEX(Spots!$K$2:$K$96,MATCH(A1008,Spots!$A$2:$A$96,0)),"")="","",IFERROR(INDEX(Spots!$K$2:$K$96,MATCH(A1008,Spots!$A$2:$A$96,0)),""))</f>
        <v/>
      </c>
      <c r="L1008" s="3">
        <f>IF(OR(K1008="",F1008=""),"",F1008/1000*K1008*100)</f>
        <v/>
      </c>
      <c r="M1008">
        <f>IF(OR(L1008="",L1008=0),"",ROUND(100/L1008,0))</f>
        <v/>
      </c>
      <c r="N1008" t="inlineStr"/>
    </row>
    <row r="1009">
      <c r="A1009" t="n">
        <v>23</v>
      </c>
      <c r="B1009" t="inlineStr">
        <is>
          <t>Sherekhan (Day)</t>
        </is>
      </c>
      <c r="C1009" t="inlineStr">
        <is>
          <t>Seleth Main Weapon Box</t>
        </is>
      </c>
      <c r="D1009" t="n">
        <v>1.295354</v>
      </c>
      <c r="E1009" t="n">
        <v>7438.9</v>
      </c>
      <c r="F1009" s="3" t="n">
        <v>0.1741324658215596</v>
      </c>
      <c r="G1009" t="n">
        <v>5743</v>
      </c>
      <c r="H1009" s="3" t="n">
        <v>0.1509829870485092</v>
      </c>
      <c r="I1009" s="3" t="n">
        <v>0.1998265983859638</v>
      </c>
      <c r="J1009" t="n">
        <v>202.7</v>
      </c>
      <c r="K1009">
        <f>IF(IFERROR(INDEX(Spots!$K$2:$K$96,MATCH(A1009,Spots!$A$2:$A$96,0)),"")="","",IFERROR(INDEX(Spots!$K$2:$K$96,MATCH(A1009,Spots!$A$2:$A$96,0)),""))</f>
        <v/>
      </c>
      <c r="L1009" s="3">
        <f>IF(OR(K1009="",F1009=""),"",F1009/1000*K1009*100)</f>
        <v/>
      </c>
      <c r="M1009">
        <f>IF(OR(L1009="",L1009=0),"",ROUND(100/L1009,0))</f>
        <v/>
      </c>
      <c r="N1009" t="inlineStr"/>
    </row>
    <row r="1010">
      <c r="A1010" t="n">
        <v>23</v>
      </c>
      <c r="B1010" t="inlineStr">
        <is>
          <t>Sherekhan (Day)</t>
        </is>
      </c>
      <c r="C1010" t="inlineStr">
        <is>
          <t>Kalis Main Weapon Box</t>
        </is>
      </c>
      <c r="D1010" t="n">
        <v>1.242527</v>
      </c>
      <c r="E1010" t="n">
        <v>7438.9</v>
      </c>
      <c r="F1010" s="3" t="n">
        <v>0.1670310126497197</v>
      </c>
      <c r="G1010" t="n">
        <v>5987</v>
      </c>
      <c r="H1010" s="3" t="n">
        <v>0.1443756168864864</v>
      </c>
      <c r="I1010" s="3" t="n">
        <v>0.1922322652023026</v>
      </c>
      <c r="J1010" t="n">
        <v>194.4</v>
      </c>
      <c r="K1010">
        <f>IF(IFERROR(INDEX(Spots!$K$2:$K$96,MATCH(A1010,Spots!$A$2:$A$96,0)),"")="","",IFERROR(INDEX(Spots!$K$2:$K$96,MATCH(A1010,Spots!$A$2:$A$96,0)),""))</f>
        <v/>
      </c>
      <c r="L1010" s="3">
        <f>IF(OR(K1010="",F1010=""),"",F1010/1000*K1010*100)</f>
        <v/>
      </c>
      <c r="M1010">
        <f>IF(OR(L1010="",L1010=0),"",ROUND(100/L1010,0))</f>
        <v/>
      </c>
      <c r="N1010" t="inlineStr"/>
    </row>
    <row r="1011">
      <c r="A1011" t="n">
        <v>23</v>
      </c>
      <c r="B1011" t="inlineStr">
        <is>
          <t>Sherekhan (Day)</t>
        </is>
      </c>
      <c r="C1011" t="inlineStr">
        <is>
          <t>Mass of Pure Magic</t>
        </is>
      </c>
      <c r="D1011" t="n">
        <v>0.97902799</v>
      </c>
      <c r="E1011" t="n">
        <v>7438.9</v>
      </c>
      <c r="F1011" s="3" t="n">
        <v>0.1316092419578163</v>
      </c>
      <c r="G1011" t="n">
        <v>7598</v>
      </c>
      <c r="H1011" s="3" t="n">
        <v>0.1115925856915</v>
      </c>
      <c r="I1011" s="3" t="n">
        <v>0.1541791247777281</v>
      </c>
      <c r="J1011" t="n">
        <v>153.2</v>
      </c>
      <c r="K1011">
        <f>IF(IFERROR(INDEX(Spots!$K$2:$K$96,MATCH(A1011,Spots!$A$2:$A$96,0)),"")="","",IFERROR(INDEX(Spots!$K$2:$K$96,MATCH(A1011,Spots!$A$2:$A$96,0)),""))</f>
        <v/>
      </c>
      <c r="L1011" s="3">
        <f>IF(OR(K1011="",F1011=""),"",F1011/1000*K1011*100)</f>
        <v/>
      </c>
      <c r="M1011">
        <f>IF(OR(L1011="",L1011=0),"",ROUND(100/L1011,0))</f>
        <v/>
      </c>
      <c r="N1011" t="inlineStr"/>
    </row>
    <row r="1012">
      <c r="A1012" t="n">
        <v>23</v>
      </c>
      <c r="B1012" t="inlineStr">
        <is>
          <t>Sherekhan (Day)</t>
        </is>
      </c>
      <c r="C1012" t="inlineStr">
        <is>
          <t>Dragon's Fang</t>
        </is>
      </c>
      <c r="D1012" t="n">
        <v>0.73823291</v>
      </c>
      <c r="E1012" t="n">
        <v>7438.9</v>
      </c>
      <c r="F1012" s="3" t="n">
        <v>0.09923952600518895</v>
      </c>
      <c r="G1012" t="n">
        <v>10077</v>
      </c>
      <c r="H1012" s="3" t="n">
        <v>0.0819678082812533</v>
      </c>
      <c r="I1012" s="3" t="n">
        <v>0.1190743596270849</v>
      </c>
      <c r="J1012" t="n">
        <v>115.5</v>
      </c>
      <c r="K1012">
        <f>IF(IFERROR(INDEX(Spots!$K$2:$K$96,MATCH(A1012,Spots!$A$2:$A$96,0)),"")="","",IFERROR(INDEX(Spots!$K$2:$K$96,MATCH(A1012,Spots!$A$2:$A$96,0)),""))</f>
        <v/>
      </c>
      <c r="L1012" s="3">
        <f>IF(OR(K1012="",F1012=""),"",F1012/1000*K1012*100)</f>
        <v/>
      </c>
      <c r="M1012">
        <f>IF(OR(L1012="",L1012=0),"",ROUND(100/L1012,0))</f>
        <v/>
      </c>
      <c r="N1012" t="inlineStr"/>
    </row>
    <row r="1013">
      <c r="A1013" t="n">
        <v>23</v>
      </c>
      <c r="B1013" t="inlineStr">
        <is>
          <t>Sherekhan (Day)</t>
        </is>
      </c>
      <c r="C1013" t="inlineStr">
        <is>
          <t>Akum Armor</t>
        </is>
      </c>
      <c r="D1013" t="n">
        <v>0.60548739</v>
      </c>
      <c r="E1013" t="n">
        <v>7438.9</v>
      </c>
      <c r="F1013" s="3" t="n">
        <v>0.08139474787939077</v>
      </c>
      <c r="G1013" t="n">
        <v>12286</v>
      </c>
      <c r="H1013" s="3" t="n">
        <v>0.06583179430759073</v>
      </c>
      <c r="I1013" s="3" t="n">
        <v>0.09952859861514533</v>
      </c>
      <c r="J1013" t="n">
        <v>94.7</v>
      </c>
      <c r="K1013">
        <f>IF(IFERROR(INDEX(Spots!$K$2:$K$96,MATCH(A1013,Spots!$A$2:$A$96,0)),"")="","",IFERROR(INDEX(Spots!$K$2:$K$96,MATCH(A1013,Spots!$A$2:$A$96,0)),""))</f>
        <v/>
      </c>
      <c r="L1013" s="3">
        <f>IF(OR(K1013="",F1013=""),"",F1013/1000*K1013*100)</f>
        <v/>
      </c>
      <c r="M1013">
        <f>IF(OR(L1013="",L1013=0),"",ROUND(100/L1013,0))</f>
        <v/>
      </c>
      <c r="N1013" t="inlineStr"/>
    </row>
    <row r="1014">
      <c r="A1014" t="n">
        <v>23</v>
      </c>
      <c r="B1014" t="inlineStr">
        <is>
          <t>Sherekhan (Day)</t>
        </is>
      </c>
      <c r="C1014" t="inlineStr">
        <is>
          <t>Orkinrad's Belt</t>
        </is>
      </c>
      <c r="D1014" t="n">
        <v>0.54367546</v>
      </c>
      <c r="E1014" t="n">
        <v>7438.9</v>
      </c>
      <c r="F1014" s="3" t="n">
        <v>0.07308546424874646</v>
      </c>
      <c r="G1014" t="n">
        <v>13683</v>
      </c>
      <c r="H1014" s="3" t="n">
        <v>0.05838224994802624</v>
      </c>
      <c r="I1014" s="3" t="n">
        <v>0.0903641182070042</v>
      </c>
      <c r="J1014" t="n">
        <v>85.09999999999999</v>
      </c>
      <c r="K1014">
        <f>IF(IFERROR(INDEX(Spots!$K$2:$K$96,MATCH(A1014,Spots!$A$2:$A$96,0)),"")="","",IFERROR(INDEX(Spots!$K$2:$K$96,MATCH(A1014,Spots!$A$2:$A$96,0)),""))</f>
        <v/>
      </c>
      <c r="L1014" s="3">
        <f>IF(OR(K1014="",F1014=""),"",F1014/1000*K1014*100)</f>
        <v/>
      </c>
      <c r="M1014">
        <f>IF(OR(L1014="",L1014=0),"",ROUND(100/L1014,0))</f>
        <v/>
      </c>
      <c r="N1014" t="inlineStr"/>
    </row>
    <row r="1015">
      <c r="A1015" t="n">
        <v>23</v>
      </c>
      <c r="B1015" t="inlineStr">
        <is>
          <t>Sherekhan (Day)</t>
        </is>
      </c>
      <c r="C1015" t="inlineStr">
        <is>
          <t>Imperfect Lightstone of Earth</t>
        </is>
      </c>
      <c r="D1015" t="n">
        <v>0.26550947</v>
      </c>
      <c r="E1015" t="n">
        <v>7438.9</v>
      </c>
      <c r="F1015" s="3" t="n">
        <v>0.03569203376843351</v>
      </c>
      <c r="G1015" t="n">
        <v>28017</v>
      </c>
      <c r="H1015" s="3" t="n">
        <v>0.02567127475989929</v>
      </c>
      <c r="I1015" s="3" t="n">
        <v>0.04832502912706704</v>
      </c>
      <c r="J1015" t="n">
        <v>41.5</v>
      </c>
      <c r="K1015">
        <f>IF(IFERROR(INDEX(Spots!$K$2:$K$96,MATCH(A1015,Spots!$A$2:$A$96,0)),"")="","",IFERROR(INDEX(Spots!$K$2:$K$96,MATCH(A1015,Spots!$A$2:$A$96,0)),""))</f>
        <v/>
      </c>
      <c r="L1015" s="3">
        <f>IF(OR(K1015="",F1015=""),"",F1015/1000*K1015*100)</f>
        <v/>
      </c>
      <c r="M1015">
        <f>IF(OR(L1015="",L1015=0),"",ROUND(100/L1015,0))</f>
        <v/>
      </c>
      <c r="N1015" t="inlineStr"/>
    </row>
    <row r="1016">
      <c r="A1016" t="n">
        <v>23</v>
      </c>
      <c r="B1016" t="inlineStr">
        <is>
          <t>Sherekhan (Day)</t>
        </is>
      </c>
      <c r="C1016" t="inlineStr">
        <is>
          <t>Combined Magic Crystal - Hoom</t>
        </is>
      </c>
      <c r="D1016" t="n">
        <v>0.25132535</v>
      </c>
      <c r="E1016" t="n">
        <v>7438.9</v>
      </c>
      <c r="F1016" s="3" t="n">
        <v>0.03378528411458683</v>
      </c>
      <c r="G1016" t="n">
        <v>29599</v>
      </c>
      <c r="H1016" s="3" t="n">
        <v>0.02405885381241379</v>
      </c>
      <c r="I1016" s="3" t="n">
        <v>0.04612730032153953</v>
      </c>
      <c r="J1016" t="n">
        <v>39.3</v>
      </c>
      <c r="K1016">
        <f>IF(IFERROR(INDEX(Spots!$K$2:$K$96,MATCH(A1016,Spots!$A$2:$A$96,0)),"")="","",IFERROR(INDEX(Spots!$K$2:$K$96,MATCH(A1016,Spots!$A$2:$A$96,0)),""))</f>
        <v/>
      </c>
      <c r="L1016" s="3">
        <f>IF(OR(K1016="",F1016=""),"",F1016/1000*K1016*100)</f>
        <v/>
      </c>
      <c r="M1016">
        <f>IF(OR(L1016="",L1016=0),"",ROUND(100/L1016,0))</f>
        <v/>
      </c>
      <c r="N1016" t="inlineStr"/>
    </row>
    <row r="1017">
      <c r="A1017" t="n">
        <v>23</v>
      </c>
      <c r="B1017" t="inlineStr">
        <is>
          <t>Sherekhan (Day)</t>
        </is>
      </c>
      <c r="C1017" t="inlineStr">
        <is>
          <t>Combined Magic Crystal - Macalod</t>
        </is>
      </c>
      <c r="D1017" t="n">
        <v>0.24957444</v>
      </c>
      <c r="E1017" t="n">
        <v>7438.9</v>
      </c>
      <c r="F1017" s="3" t="n">
        <v>0.03354991194934735</v>
      </c>
      <c r="G1017" t="n">
        <v>29806</v>
      </c>
      <c r="H1017" s="3" t="n">
        <v>0.02386038552426293</v>
      </c>
      <c r="I1017" s="3" t="n">
        <v>0.04585545679868066</v>
      </c>
      <c r="J1017" t="n">
        <v>39.1</v>
      </c>
      <c r="K1017">
        <f>IF(IFERROR(INDEX(Spots!$K$2:$K$96,MATCH(A1017,Spots!$A$2:$A$96,0)),"")="","",IFERROR(INDEX(Spots!$K$2:$K$96,MATCH(A1017,Spots!$A$2:$A$96,0)),""))</f>
        <v/>
      </c>
      <c r="L1017" s="3">
        <f>IF(OR(K1017="",F1017=""),"",F1017/1000*K1017*100)</f>
        <v/>
      </c>
      <c r="M1017">
        <f>IF(OR(L1017="",L1017=0),"",ROUND(100/L1017,0))</f>
        <v/>
      </c>
      <c r="N1017" t="inlineStr"/>
    </row>
    <row r="1018">
      <c r="A1018" t="n">
        <v>23</v>
      </c>
      <c r="B1018" t="inlineStr">
        <is>
          <t>Sherekhan (Day)</t>
        </is>
      </c>
      <c r="C1018" t="inlineStr">
        <is>
          <t>Any Artifact</t>
        </is>
      </c>
      <c r="D1018" t="n">
        <v>0.10704752</v>
      </c>
      <c r="E1018" t="n">
        <v>7438.9</v>
      </c>
      <c r="F1018" s="3" t="n">
        <v>0.01439023511540685</v>
      </c>
      <c r="G1018" t="n">
        <v>69492</v>
      </c>
      <c r="H1018" s="3" t="n">
        <v>0.008339811301876389</v>
      </c>
      <c r="I1018" s="3" t="n">
        <v>0.02312025140067398</v>
      </c>
      <c r="J1018" t="n">
        <v>16.8</v>
      </c>
      <c r="K1018">
        <f>IF(IFERROR(INDEX(Spots!$K$2:$K$96,MATCH(A1018,Spots!$A$2:$A$96,0)),"")="","",IFERROR(INDEX(Spots!$K$2:$K$96,MATCH(A1018,Spots!$A$2:$A$96,0)),""))</f>
        <v/>
      </c>
      <c r="L1018" s="3">
        <f>IF(OR(K1018="",F1018=""),"",F1018/1000*K1018*100)</f>
        <v/>
      </c>
      <c r="M1018">
        <f>IF(OR(L1018="",L1018=0),"",ROUND(100/L1018,0))</f>
        <v/>
      </c>
      <c r="N1018" t="inlineStr">
        <is>
          <t>low sample</t>
        </is>
      </c>
    </row>
    <row r="1019">
      <c r="A1019" t="n">
        <v>23</v>
      </c>
      <c r="B1019" t="inlineStr">
        <is>
          <t>Sherekhan (Day)</t>
        </is>
      </c>
      <c r="C1019" t="inlineStr">
        <is>
          <t>Imperfect Lightstone of Fire</t>
        </is>
      </c>
      <c r="D1019" t="n">
        <v>0.06052461</v>
      </c>
      <c r="E1019" t="n">
        <v>7438.9</v>
      </c>
      <c r="F1019" s="3" t="n">
        <v>0.008136231163209615</v>
      </c>
      <c r="G1019" t="n">
        <v>122907</v>
      </c>
      <c r="H1019" s="3" t="n">
        <v>0.003801612724212708</v>
      </c>
      <c r="I1019" s="3" t="n">
        <v>0.01520784279460349</v>
      </c>
      <c r="J1019" t="n">
        <v>9.5</v>
      </c>
      <c r="K1019">
        <f>IF(IFERROR(INDEX(Spots!$K$2:$K$96,MATCH(A1019,Spots!$A$2:$A$96,0)),"")="","",IFERROR(INDEX(Spots!$K$2:$K$96,MATCH(A1019,Spots!$A$2:$A$96,0)),""))</f>
        <v/>
      </c>
      <c r="L1019" s="3">
        <f>IF(OR(K1019="",F1019=""),"",F1019/1000*K1019*100)</f>
        <v/>
      </c>
      <c r="M1019">
        <f>IF(OR(L1019="",L1019=0),"",ROUND(100/L1019,0))</f>
        <v/>
      </c>
      <c r="N1019" t="inlineStr">
        <is>
          <t>low sample</t>
        </is>
      </c>
    </row>
    <row r="1020">
      <c r="A1020" t="n">
        <v>23</v>
      </c>
      <c r="B1020" t="inlineStr">
        <is>
          <t>Sherekhan (Day)</t>
        </is>
      </c>
      <c r="C1020" t="inlineStr">
        <is>
          <t>Imperfect Lightstone of Wind</t>
        </is>
      </c>
      <c r="D1020" t="n">
        <v>0.05709124</v>
      </c>
      <c r="E1020" t="n">
        <v>7438.9</v>
      </c>
      <c r="F1020" s="3" t="n">
        <v>0.007674688462003791</v>
      </c>
      <c r="G1020" t="n">
        <v>130298</v>
      </c>
      <c r="H1020" s="3" t="n">
        <v>0.003489843706918199</v>
      </c>
      <c r="I1020" s="3" t="n">
        <v>0.01460315278401977</v>
      </c>
      <c r="J1020" t="n">
        <v>8.9</v>
      </c>
      <c r="K1020">
        <f>IF(IFERROR(INDEX(Spots!$K$2:$K$96,MATCH(A1020,Spots!$A$2:$A$96,0)),"")="","",IFERROR(INDEX(Spots!$K$2:$K$96,MATCH(A1020,Spots!$A$2:$A$96,0)),""))</f>
        <v/>
      </c>
      <c r="L1020" s="3">
        <f>IF(OR(K1020="",F1020=""),"",F1020/1000*K1020*100)</f>
        <v/>
      </c>
      <c r="M1020">
        <f>IF(OR(L1020="",L1020=0),"",ROUND(100/L1020,0))</f>
        <v/>
      </c>
      <c r="N1020" t="inlineStr">
        <is>
          <t>low sample</t>
        </is>
      </c>
    </row>
    <row r="1021">
      <c r="A1021" t="n">
        <v>23</v>
      </c>
      <c r="B1021" t="inlineStr">
        <is>
          <t>Sherekhan (Day)</t>
        </is>
      </c>
      <c r="C1021" t="inlineStr">
        <is>
          <t>Combined Magic Crystal - Gervish</t>
        </is>
      </c>
      <c r="D1021" t="n">
        <v>0.042502</v>
      </c>
      <c r="E1021" t="n">
        <v>7438.9</v>
      </c>
      <c r="F1021" s="3" t="n">
        <v>0.005713479143421743</v>
      </c>
      <c r="G1021" t="n">
        <v>175025</v>
      </c>
      <c r="H1021" s="3" t="n">
        <v>0.002222258618777923</v>
      </c>
      <c r="I1021" s="3" t="n">
        <v>0.01198402255771147</v>
      </c>
      <c r="J1021" t="n">
        <v>6.7</v>
      </c>
      <c r="K1021">
        <f>IF(IFERROR(INDEX(Spots!$K$2:$K$96,MATCH(A1021,Spots!$A$2:$A$96,0)),"")="","",IFERROR(INDEX(Spots!$K$2:$K$96,MATCH(A1021,Spots!$A$2:$A$96,0)),""))</f>
        <v/>
      </c>
      <c r="L1021" s="3">
        <f>IF(OR(K1021="",F1021=""),"",F1021/1000*K1021*100)</f>
        <v/>
      </c>
      <c r="M1021">
        <f>IF(OR(L1021="",L1021=0),"",ROUND(100/L1021,0))</f>
        <v/>
      </c>
      <c r="N1021" t="inlineStr">
        <is>
          <t>low sample</t>
        </is>
      </c>
    </row>
    <row r="1022">
      <c r="A1022" t="n">
        <v>23</v>
      </c>
      <c r="B1022" t="inlineStr">
        <is>
          <t>Sherekhan (Day)</t>
        </is>
      </c>
      <c r="C1022" t="inlineStr">
        <is>
          <t>Specter's Energy</t>
        </is>
      </c>
      <c r="D1022" t="n">
        <v>0.03064673</v>
      </c>
      <c r="E1022" t="n">
        <v>7438.9</v>
      </c>
      <c r="F1022" s="3" t="n">
        <v>0.004119793249001869</v>
      </c>
      <c r="G1022" t="n">
        <v>242731</v>
      </c>
      <c r="H1022" s="3" t="n">
        <v>0.001286801551760649</v>
      </c>
      <c r="I1022" s="3" t="n">
        <v>0.009776017950140497</v>
      </c>
      <c r="J1022" t="n">
        <v>4.8</v>
      </c>
      <c r="K1022">
        <f>IF(IFERROR(INDEX(Spots!$K$2:$K$96,MATCH(A1022,Spots!$A$2:$A$96,0)),"")="","",IFERROR(INDEX(Spots!$K$2:$K$96,MATCH(A1022,Spots!$A$2:$A$96,0)),""))</f>
        <v/>
      </c>
      <c r="L1022" s="3">
        <f>IF(OR(K1022="",F1022=""),"",F1022/1000*K1022*100)</f>
        <v/>
      </c>
      <c r="M1022">
        <f>IF(OR(L1022="",L1022=0),"",ROUND(100/L1022,0))</f>
        <v/>
      </c>
      <c r="N1022" t="inlineStr">
        <is>
          <t>low sample</t>
        </is>
      </c>
    </row>
    <row r="1023">
      <c r="A1023" t="n">
        <v>23</v>
      </c>
      <c r="B1023" t="inlineStr">
        <is>
          <t>Sherekhan (Day)</t>
        </is>
      </c>
      <c r="C1023" t="inlineStr">
        <is>
          <t>Ancient Sherekhan's Panacea</t>
        </is>
      </c>
      <c r="D1023" t="n">
        <v>0.0105272</v>
      </c>
      <c r="E1023" t="n">
        <v>7438.9</v>
      </c>
      <c r="F1023" s="3" t="n">
        <v>0.001415155466534031</v>
      </c>
      <c r="G1023" t="n">
        <v>706636</v>
      </c>
      <c r="H1023" s="3" t="n">
        <v>0.0001075041098626263</v>
      </c>
      <c r="I1023" s="3" t="n">
        <v>0.005715272015873417</v>
      </c>
      <c r="J1023" t="n">
        <v>1.6</v>
      </c>
      <c r="K1023">
        <f>IF(IFERROR(INDEX(Spots!$K$2:$K$96,MATCH(A1023,Spots!$A$2:$A$96,0)),"")="","",IFERROR(INDEX(Spots!$K$2:$K$96,MATCH(A1023,Spots!$A$2:$A$96,0)),""))</f>
        <v/>
      </c>
      <c r="L1023" s="3">
        <f>IF(OR(K1023="",F1023=""),"",F1023/1000*K1023*100)</f>
        <v/>
      </c>
      <c r="M1023">
        <f>IF(OR(L1023="",L1023=0),"",ROUND(100/L1023,0))</f>
        <v/>
      </c>
      <c r="N1023" t="inlineStr">
        <is>
          <t>low sample</t>
        </is>
      </c>
    </row>
    <row r="1024">
      <c r="A1024" t="n">
        <v>23</v>
      </c>
      <c r="B1024" t="inlineStr">
        <is>
          <t>Sherekhan (Day)</t>
        </is>
      </c>
      <c r="C1024" t="inlineStr">
        <is>
          <t>Great Marni's Stone (Sherekhan - Day)</t>
        </is>
      </c>
      <c r="D1024" t="n">
        <v>0.00817973</v>
      </c>
      <c r="E1024" t="n">
        <v>7438.9</v>
      </c>
      <c r="F1024" s="3" t="n">
        <v>0.001099588648859374</v>
      </c>
      <c r="G1024" t="n">
        <v>909431</v>
      </c>
      <c r="H1024" s="3" t="n">
        <v>4.160708384424883e-05</v>
      </c>
      <c r="I1024" s="3" t="n">
        <v>0.005191776188863724</v>
      </c>
      <c r="J1024" t="n">
        <v>1.3</v>
      </c>
      <c r="K1024">
        <f>IF(IFERROR(INDEX(Spots!$K$2:$K$96,MATCH(A1024,Spots!$A$2:$A$96,0)),"")="","",IFERROR(INDEX(Spots!$K$2:$K$96,MATCH(A1024,Spots!$A$2:$A$96,0)),""))</f>
        <v/>
      </c>
      <c r="L1024" s="3">
        <f>IF(OR(K1024="",F1024=""),"",F1024/1000*K1024*100)</f>
        <v/>
      </c>
      <c r="M1024">
        <f>IF(OR(L1024="",L1024=0),"",ROUND(100/L1024,0))</f>
        <v/>
      </c>
      <c r="N1024" t="inlineStr">
        <is>
          <t>low sample</t>
        </is>
      </c>
    </row>
    <row r="1025">
      <c r="A1025" t="n">
        <v>119</v>
      </c>
      <c r="B1025" t="inlineStr">
        <is>
          <t>Sherekhan (Night)</t>
        </is>
      </c>
      <c r="C1025" t="inlineStr">
        <is>
          <t>Black Stone</t>
        </is>
      </c>
      <c r="D1025" t="n">
        <v>25.176</v>
      </c>
      <c r="E1025" t="n">
        <v>1931.7</v>
      </c>
      <c r="F1025" s="3" t="n">
        <v>13.03307967075633</v>
      </c>
      <c r="G1025" t="n">
        <v>77</v>
      </c>
      <c r="H1025" s="3" t="n">
        <v>11.39549680267406</v>
      </c>
      <c r="I1025" s="3" t="n">
        <v>14.83988652009051</v>
      </c>
      <c r="J1025" t="n">
        <v>227.8</v>
      </c>
      <c r="K1025">
        <f>IF(IFERROR(INDEX(Spots!$K$2:$K$96,MATCH(A1025,Spots!$A$2:$A$96,0)),"")="","",IFERROR(INDEX(Spots!$K$2:$K$96,MATCH(A1025,Spots!$A$2:$A$96,0)),""))</f>
        <v/>
      </c>
      <c r="L1025" s="3">
        <f>IF(OR(K1025="",F1025=""),"",F1025/1000*K1025*100)</f>
        <v/>
      </c>
      <c r="M1025">
        <f>IF(OR(L1025="",L1025=0),"",ROUND(100/L1025,0))</f>
        <v/>
      </c>
      <c r="N1025" t="inlineStr">
        <is>
          <t>low sample</t>
        </is>
      </c>
    </row>
    <row r="1026">
      <c r="A1026" t="n">
        <v>119</v>
      </c>
      <c r="B1026" t="inlineStr">
        <is>
          <t>Sherekhan (Night)</t>
        </is>
      </c>
      <c r="C1026" t="inlineStr">
        <is>
          <t>Ancient Spirit Dust</t>
        </is>
      </c>
      <c r="D1026" t="n">
        <v>6.879537</v>
      </c>
      <c r="E1026" t="n">
        <v>1931.7</v>
      </c>
      <c r="F1026" s="3" t="n">
        <v>3.56138996738624</v>
      </c>
      <c r="G1026" t="n">
        <v>281</v>
      </c>
      <c r="H1026" s="3" t="n">
        <v>2.7319576547444</v>
      </c>
      <c r="I1026" s="3" t="n">
        <v>4.56328120181188</v>
      </c>
      <c r="J1026" t="n">
        <v>62.3</v>
      </c>
      <c r="K1026">
        <f>IF(IFERROR(INDEX(Spots!$K$2:$K$96,MATCH(A1026,Spots!$A$2:$A$96,0)),"")="","",IFERROR(INDEX(Spots!$K$2:$K$96,MATCH(A1026,Spots!$A$2:$A$96,0)),""))</f>
        <v/>
      </c>
      <c r="L1026" s="3">
        <f>IF(OR(K1026="",F1026=""),"",F1026/1000*K1026*100)</f>
        <v/>
      </c>
      <c r="M1026">
        <f>IF(OR(L1026="",L1026=0),"",ROUND(100/L1026,0))</f>
        <v/>
      </c>
      <c r="N1026" t="inlineStr">
        <is>
          <t>low sample</t>
        </is>
      </c>
    </row>
    <row r="1027">
      <c r="A1027" t="n">
        <v>119</v>
      </c>
      <c r="B1027" t="inlineStr">
        <is>
          <t>Sherekhan (Night)</t>
        </is>
      </c>
      <c r="C1027" t="inlineStr">
        <is>
          <t>Trace of Nature</t>
        </is>
      </c>
      <c r="D1027" t="n">
        <v>6.561291</v>
      </c>
      <c r="E1027" t="n">
        <v>1931.7</v>
      </c>
      <c r="F1027" s="3" t="n">
        <v>3.396640782730237</v>
      </c>
      <c r="G1027" t="n">
        <v>294</v>
      </c>
      <c r="H1027" s="3" t="n">
        <v>2.587934945393792</v>
      </c>
      <c r="I1027" s="3" t="n">
        <v>4.377965143002057</v>
      </c>
      <c r="J1027" t="n">
        <v>59.4</v>
      </c>
      <c r="K1027">
        <f>IF(IFERROR(INDEX(Spots!$K$2:$K$96,MATCH(A1027,Spots!$A$2:$A$96,0)),"")="","",IFERROR(INDEX(Spots!$K$2:$K$96,MATCH(A1027,Spots!$A$2:$A$96,0)),""))</f>
        <v/>
      </c>
      <c r="L1027" s="3">
        <f>IF(OR(K1027="",F1027=""),"",F1027/1000*K1027*100)</f>
        <v/>
      </c>
      <c r="M1027">
        <f>IF(OR(L1027="",L1027=0),"",ROUND(100/L1027,0))</f>
        <v/>
      </c>
      <c r="N1027" t="inlineStr">
        <is>
          <t>low sample</t>
        </is>
      </c>
    </row>
    <row r="1028">
      <c r="A1028" t="n">
        <v>119</v>
      </c>
      <c r="B1028" t="inlineStr">
        <is>
          <t>Sherekhan (Night)</t>
        </is>
      </c>
      <c r="C1028" t="inlineStr">
        <is>
          <t>Caphras Stone</t>
        </is>
      </c>
      <c r="D1028" t="n">
        <v>5.44226</v>
      </c>
      <c r="E1028" t="n">
        <v>1931.7</v>
      </c>
      <c r="F1028" s="3" t="n">
        <v>2.817342237407465</v>
      </c>
      <c r="G1028" t="n">
        <v>355</v>
      </c>
      <c r="H1028" s="3" t="n">
        <v>2.085843348567879</v>
      </c>
      <c r="I1028" s="3" t="n">
        <v>3.722124954644551</v>
      </c>
      <c r="J1028" t="n">
        <v>49.3</v>
      </c>
      <c r="K1028">
        <f>IF(IFERROR(INDEX(Spots!$K$2:$K$96,MATCH(A1028,Spots!$A$2:$A$96,0)),"")="","",IFERROR(INDEX(Spots!$K$2:$K$96,MATCH(A1028,Spots!$A$2:$A$96,0)),""))</f>
        <v/>
      </c>
      <c r="L1028" s="3">
        <f>IF(OR(K1028="",F1028=""),"",F1028/1000*K1028*100)</f>
        <v/>
      </c>
      <c r="M1028">
        <f>IF(OR(L1028="",L1028=0),"",ROUND(100/L1028,0))</f>
        <v/>
      </c>
      <c r="N1028" t="inlineStr">
        <is>
          <t>low sample</t>
        </is>
      </c>
    </row>
    <row r="1029">
      <c r="A1029" t="n">
        <v>119</v>
      </c>
      <c r="B1029" t="inlineStr">
        <is>
          <t>Sherekhan (Night)</t>
        </is>
      </c>
      <c r="C1029" t="inlineStr">
        <is>
          <t>Dragon Scale Fossil</t>
        </is>
      </c>
      <c r="D1029" t="n">
        <v>3.626659</v>
      </c>
      <c r="E1029" t="n">
        <v>1931.7</v>
      </c>
      <c r="F1029" s="3" t="n">
        <v>1.877444220116995</v>
      </c>
      <c r="G1029" t="n">
        <v>533</v>
      </c>
      <c r="H1029" s="3" t="n">
        <v>1.290688447210625</v>
      </c>
      <c r="I1029" s="3" t="n">
        <v>2.639138641641424</v>
      </c>
      <c r="J1029" t="n">
        <v>32.8</v>
      </c>
      <c r="K1029">
        <f>IF(IFERROR(INDEX(Spots!$K$2:$K$96,MATCH(A1029,Spots!$A$2:$A$96,0)),"")="","",IFERROR(INDEX(Spots!$K$2:$K$96,MATCH(A1029,Spots!$A$2:$A$96,0)),""))</f>
        <v/>
      </c>
      <c r="L1029" s="3">
        <f>IF(OR(K1029="",F1029=""),"",F1029/1000*K1029*100)</f>
        <v/>
      </c>
      <c r="M1029">
        <f>IF(OR(L1029="",L1029=0),"",ROUND(100/L1029,0))</f>
        <v/>
      </c>
      <c r="N1029" t="inlineStr">
        <is>
          <t>low sample</t>
        </is>
      </c>
    </row>
    <row r="1030">
      <c r="A1030" t="n">
        <v>119</v>
      </c>
      <c r="B1030" t="inlineStr">
        <is>
          <t>Sherekhan (Night)</t>
        </is>
      </c>
      <c r="C1030" t="inlineStr">
        <is>
          <t>Kalis Main Weapon Box</t>
        </is>
      </c>
      <c r="D1030" t="n">
        <v>1.281493</v>
      </c>
      <c r="E1030" t="n">
        <v>1931.7</v>
      </c>
      <c r="F1030" s="3" t="n">
        <v>0.6634016669255061</v>
      </c>
      <c r="G1030" t="n">
        <v>1507</v>
      </c>
      <c r="H1030" s="3" t="n">
        <v>0.337847978935491</v>
      </c>
      <c r="I1030" s="3" t="n">
        <v>1.169746144049536</v>
      </c>
      <c r="J1030" t="n">
        <v>11.6</v>
      </c>
      <c r="K1030">
        <f>IF(IFERROR(INDEX(Spots!$K$2:$K$96,MATCH(A1030,Spots!$A$2:$A$96,0)),"")="","",IFERROR(INDEX(Spots!$K$2:$K$96,MATCH(A1030,Spots!$A$2:$A$96,0)),""))</f>
        <v/>
      </c>
      <c r="L1030" s="3">
        <f>IF(OR(K1030="",F1030=""),"",F1030/1000*K1030*100)</f>
        <v/>
      </c>
      <c r="M1030">
        <f>IF(OR(L1030="",L1030=0),"",ROUND(100/L1030,0))</f>
        <v/>
      </c>
      <c r="N1030" t="inlineStr">
        <is>
          <t>low sample</t>
        </is>
      </c>
    </row>
    <row r="1031">
      <c r="A1031" t="n">
        <v>119</v>
      </c>
      <c r="B1031" t="inlineStr">
        <is>
          <t>Sherekhan (Night)</t>
        </is>
      </c>
      <c r="C1031" t="inlineStr">
        <is>
          <t>Seleth Main Weapon Box</t>
        </is>
      </c>
      <c r="D1031" t="n">
        <v>1.272757</v>
      </c>
      <c r="E1031" t="n">
        <v>1931.7</v>
      </c>
      <c r="F1031" s="3" t="n">
        <v>0.6588792255526219</v>
      </c>
      <c r="G1031" t="n">
        <v>1518</v>
      </c>
      <c r="H1031" s="3" t="n">
        <v>0.3346342647611114</v>
      </c>
      <c r="I1031" s="3" t="n">
        <v>1.163962349496896</v>
      </c>
      <c r="J1031" t="n">
        <v>11.5</v>
      </c>
      <c r="K1031">
        <f>IF(IFERROR(INDEX(Spots!$K$2:$K$96,MATCH(A1031,Spots!$A$2:$A$96,0)),"")="","",IFERROR(INDEX(Spots!$K$2:$K$96,MATCH(A1031,Spots!$A$2:$A$96,0)),""))</f>
        <v/>
      </c>
      <c r="L1031" s="3">
        <f>IF(OR(K1031="",F1031=""),"",F1031/1000*K1031*100)</f>
        <v/>
      </c>
      <c r="M1031">
        <f>IF(OR(L1031="",L1031=0),"",ROUND(100/L1031,0))</f>
        <v/>
      </c>
      <c r="N1031" t="inlineStr">
        <is>
          <t>low sample</t>
        </is>
      </c>
    </row>
    <row r="1032">
      <c r="A1032" t="n">
        <v>119</v>
      </c>
      <c r="B1032" t="inlineStr">
        <is>
          <t>Sherekhan (Night)</t>
        </is>
      </c>
      <c r="C1032" t="inlineStr">
        <is>
          <t>Dragon's Fang</t>
        </is>
      </c>
      <c r="D1032" t="n">
        <v>0.9652137</v>
      </c>
      <c r="E1032" t="n">
        <v>1931.7</v>
      </c>
      <c r="F1032" s="3" t="n">
        <v>0.4996706010250039</v>
      </c>
      <c r="G1032" t="n">
        <v>2001</v>
      </c>
      <c r="H1032" s="3" t="n">
        <v>0.224778195276928</v>
      </c>
      <c r="I1032" s="3" t="n">
        <v>0.9574244707287964</v>
      </c>
      <c r="J1032" t="n">
        <v>8.699999999999999</v>
      </c>
      <c r="K1032">
        <f>IF(IFERROR(INDEX(Spots!$K$2:$K$96,MATCH(A1032,Spots!$A$2:$A$96,0)),"")="","",IFERROR(INDEX(Spots!$K$2:$K$96,MATCH(A1032,Spots!$A$2:$A$96,0)),""))</f>
        <v/>
      </c>
      <c r="L1032" s="3">
        <f>IF(OR(K1032="",F1032=""),"",F1032/1000*K1032*100)</f>
        <v/>
      </c>
      <c r="M1032">
        <f>IF(OR(L1032="",L1032=0),"",ROUND(100/L1032,0))</f>
        <v/>
      </c>
      <c r="N1032" t="inlineStr">
        <is>
          <t>low sample</t>
        </is>
      </c>
    </row>
    <row r="1033">
      <c r="A1033" t="n">
        <v>119</v>
      </c>
      <c r="B1033" t="inlineStr">
        <is>
          <t>Sherekhan (Night)</t>
        </is>
      </c>
      <c r="C1033" t="inlineStr">
        <is>
          <t>Orkinrad's Belt</t>
        </is>
      </c>
      <c r="D1033" t="n">
        <v>0.43549613</v>
      </c>
      <c r="E1033" t="n">
        <v>1931.7</v>
      </c>
      <c r="F1033" s="3" t="n">
        <v>0.2254470828803644</v>
      </c>
      <c r="G1033" t="n">
        <v>4436</v>
      </c>
      <c r="H1033" s="3" t="n">
        <v>0.05985500985870133</v>
      </c>
      <c r="I1033" s="3" t="n">
        <v>0.5809250815392838</v>
      </c>
      <c r="J1033" t="n">
        <v>3.9</v>
      </c>
      <c r="K1033">
        <f>IF(IFERROR(INDEX(Spots!$K$2:$K$96,MATCH(A1033,Spots!$A$2:$A$96,0)),"")="","",IFERROR(INDEX(Spots!$K$2:$K$96,MATCH(A1033,Spots!$A$2:$A$96,0)),""))</f>
        <v/>
      </c>
      <c r="L1033" s="3">
        <f>IF(OR(K1033="",F1033=""),"",F1033/1000*K1033*100)</f>
        <v/>
      </c>
      <c r="M1033">
        <f>IF(OR(L1033="",L1033=0),"",ROUND(100/L1033,0))</f>
        <v/>
      </c>
      <c r="N1033" t="inlineStr">
        <is>
          <t>low sample</t>
        </is>
      </c>
    </row>
    <row r="1034">
      <c r="A1034" t="n">
        <v>119</v>
      </c>
      <c r="B1034" t="inlineStr">
        <is>
          <t>Sherekhan (Night)</t>
        </is>
      </c>
      <c r="C1034" t="inlineStr">
        <is>
          <t>Combined Magic Crystal - Hoom</t>
        </is>
      </c>
      <c r="D1034" t="n">
        <v>0.40232066</v>
      </c>
      <c r="E1034" t="n">
        <v>1931.7</v>
      </c>
      <c r="F1034" s="3" t="n">
        <v>0.2082728477506859</v>
      </c>
      <c r="G1034" t="n">
        <v>4801</v>
      </c>
      <c r="H1034" s="3" t="n">
        <v>0.05135986780773267</v>
      </c>
      <c r="I1034" s="3" t="n">
        <v>0.5558654366281328</v>
      </c>
      <c r="J1034" t="n">
        <v>3.6</v>
      </c>
      <c r="K1034">
        <f>IF(IFERROR(INDEX(Spots!$K$2:$K$96,MATCH(A1034,Spots!$A$2:$A$96,0)),"")="","",IFERROR(INDEX(Spots!$K$2:$K$96,MATCH(A1034,Spots!$A$2:$A$96,0)),""))</f>
        <v/>
      </c>
      <c r="L1034" s="3">
        <f>IF(OR(K1034="",F1034=""),"",F1034/1000*K1034*100)</f>
        <v/>
      </c>
      <c r="M1034">
        <f>IF(OR(L1034="",L1034=0),"",ROUND(100/L1034,0))</f>
        <v/>
      </c>
      <c r="N1034" t="inlineStr">
        <is>
          <t>low sample</t>
        </is>
      </c>
    </row>
    <row r="1035">
      <c r="A1035" t="n">
        <v>119</v>
      </c>
      <c r="B1035" t="inlineStr">
        <is>
          <t>Sherekhan (Night)</t>
        </is>
      </c>
      <c r="C1035" t="inlineStr">
        <is>
          <t>Combined Magic Crystal - Macalod</t>
        </is>
      </c>
      <c r="D1035" t="n">
        <v>0.37327304</v>
      </c>
      <c r="E1035" t="n">
        <v>1931.7</v>
      </c>
      <c r="F1035" s="3" t="n">
        <v>0.1932355127607807</v>
      </c>
      <c r="G1035" t="n">
        <v>5175</v>
      </c>
      <c r="H1035" s="3" t="n">
        <v>0.04421622059095559</v>
      </c>
      <c r="I1035" s="3" t="n">
        <v>0.5336990723165363</v>
      </c>
      <c r="J1035" t="n">
        <v>3.4</v>
      </c>
      <c r="K1035">
        <f>IF(IFERROR(INDEX(Spots!$K$2:$K$96,MATCH(A1035,Spots!$A$2:$A$96,0)),"")="","",IFERROR(INDEX(Spots!$K$2:$K$96,MATCH(A1035,Spots!$A$2:$A$96,0)),""))</f>
        <v/>
      </c>
      <c r="L1035" s="3">
        <f>IF(OR(K1035="",F1035=""),"",F1035/1000*K1035*100)</f>
        <v/>
      </c>
      <c r="M1035">
        <f>IF(OR(L1035="",L1035=0),"",ROUND(100/L1035,0))</f>
        <v/>
      </c>
      <c r="N1035" t="inlineStr">
        <is>
          <t>low sample</t>
        </is>
      </c>
    </row>
    <row r="1036">
      <c r="A1036" t="n">
        <v>119</v>
      </c>
      <c r="B1036" t="inlineStr">
        <is>
          <t>Sherekhan (Night)</t>
        </is>
      </c>
      <c r="C1036" t="inlineStr">
        <is>
          <t>Akum Armor</t>
        </is>
      </c>
      <c r="D1036" t="n">
        <v>0.34120906</v>
      </c>
      <c r="E1036" t="n">
        <v>1931.7</v>
      </c>
      <c r="F1036" s="3" t="n">
        <v>0.1766366723611327</v>
      </c>
      <c r="G1036" t="n">
        <v>5661</v>
      </c>
      <c r="H1036" s="3" t="n">
        <v>0.03668954558655536</v>
      </c>
      <c r="I1036" s="3" t="n">
        <v>0.5089614220880516</v>
      </c>
      <c r="J1036" t="n">
        <v>3.1</v>
      </c>
      <c r="K1036">
        <f>IF(IFERROR(INDEX(Spots!$K$2:$K$96,MATCH(A1036,Spots!$A$2:$A$96,0)),"")="","",IFERROR(INDEX(Spots!$K$2:$K$96,MATCH(A1036,Spots!$A$2:$A$96,0)),""))</f>
        <v/>
      </c>
      <c r="L1036" s="3">
        <f>IF(OR(K1036="",F1036=""),"",F1036/1000*K1036*100)</f>
        <v/>
      </c>
      <c r="M1036">
        <f>IF(OR(L1036="",L1036=0),"",ROUND(100/L1036,0))</f>
        <v/>
      </c>
      <c r="N1036" t="inlineStr">
        <is>
          <t>low sample</t>
        </is>
      </c>
    </row>
    <row r="1037">
      <c r="A1037" t="n">
        <v>119</v>
      </c>
      <c r="B1037" t="inlineStr">
        <is>
          <t>Sherekhan (Night)</t>
        </is>
      </c>
      <c r="C1037" t="inlineStr">
        <is>
          <t>Any Artifact</t>
        </is>
      </c>
      <c r="D1037" t="n">
        <v>0.3370116</v>
      </c>
      <c r="E1037" t="n">
        <v>1931.7</v>
      </c>
      <c r="F1037" s="3" t="n">
        <v>0.1744637366050629</v>
      </c>
      <c r="G1037" t="n">
        <v>5732</v>
      </c>
      <c r="H1037" s="3" t="n">
        <v>0.03573457612786959</v>
      </c>
      <c r="I1037" s="3" t="n">
        <v>0.5057005238449878</v>
      </c>
      <c r="J1037" t="n">
        <v>3</v>
      </c>
      <c r="K1037">
        <f>IF(IFERROR(INDEX(Spots!$K$2:$K$96,MATCH(A1037,Spots!$A$2:$A$96,0)),"")="","",IFERROR(INDEX(Spots!$K$2:$K$96,MATCH(A1037,Spots!$A$2:$A$96,0)),""))</f>
        <v/>
      </c>
      <c r="L1037" s="3">
        <f>IF(OR(K1037="",F1037=""),"",F1037/1000*K1037*100)</f>
        <v/>
      </c>
      <c r="M1037">
        <f>IF(OR(L1037="",L1037=0),"",ROUND(100/L1037,0))</f>
        <v/>
      </c>
      <c r="N1037" t="inlineStr">
        <is>
          <t>low sample</t>
        </is>
      </c>
    </row>
    <row r="1038">
      <c r="A1038" t="n">
        <v>119</v>
      </c>
      <c r="B1038" t="inlineStr">
        <is>
          <t>Sherekhan (Night)</t>
        </is>
      </c>
      <c r="C1038" t="inlineStr">
        <is>
          <t>Specter's Energy</t>
        </is>
      </c>
      <c r="D1038" t="n">
        <v>0.28436663</v>
      </c>
      <c r="E1038" t="n">
        <v>1931.7</v>
      </c>
      <c r="F1038" s="3" t="n">
        <v>0.1472105554692758</v>
      </c>
      <c r="G1038" t="n">
        <v>6793</v>
      </c>
      <c r="H1038" s="3" t="n">
        <v>0.02443418453848399</v>
      </c>
      <c r="I1038" s="3" t="n">
        <v>0.4643087120526773</v>
      </c>
      <c r="J1038" t="n">
        <v>2.6</v>
      </c>
      <c r="K1038">
        <f>IF(IFERROR(INDEX(Spots!$K$2:$K$96,MATCH(A1038,Spots!$A$2:$A$96,0)),"")="","",IFERROR(INDEX(Spots!$K$2:$K$96,MATCH(A1038,Spots!$A$2:$A$96,0)),""))</f>
        <v/>
      </c>
      <c r="L1038" s="3">
        <f>IF(OR(K1038="",F1038=""),"",F1038/1000*K1038*100)</f>
        <v/>
      </c>
      <c r="M1038">
        <f>IF(OR(L1038="",L1038=0),"",ROUND(100/L1038,0))</f>
        <v/>
      </c>
      <c r="N1038" t="inlineStr">
        <is>
          <t>low sample</t>
        </is>
      </c>
    </row>
    <row r="1039">
      <c r="A1039" t="n">
        <v>119</v>
      </c>
      <c r="B1039" t="inlineStr">
        <is>
          <t>Sherekhan (Night)</t>
        </is>
      </c>
      <c r="C1039" t="inlineStr">
        <is>
          <t>Garmoth's Scale</t>
        </is>
      </c>
      <c r="D1039" t="n">
        <v>0.24962961</v>
      </c>
      <c r="E1039" t="n">
        <v>1931.7</v>
      </c>
      <c r="F1039" s="3" t="n">
        <v>0.1292279391209815</v>
      </c>
      <c r="G1039" t="n">
        <v>7738</v>
      </c>
      <c r="H1039" s="3" t="n">
        <v>0.01776929384022415</v>
      </c>
      <c r="I1039" s="3" t="n">
        <v>0.4364322583127015</v>
      </c>
      <c r="J1039" t="n">
        <v>2.3</v>
      </c>
      <c r="K1039">
        <f>IF(IFERROR(INDEX(Spots!$K$2:$K$96,MATCH(A1039,Spots!$A$2:$A$96,0)),"")="","",IFERROR(INDEX(Spots!$K$2:$K$96,MATCH(A1039,Spots!$A$2:$A$96,0)),""))</f>
        <v/>
      </c>
      <c r="L1039" s="3">
        <f>IF(OR(K1039="",F1039=""),"",F1039/1000*K1039*100)</f>
        <v/>
      </c>
      <c r="M1039">
        <f>IF(OR(L1039="",L1039=0),"",ROUND(100/L1039,0))</f>
        <v/>
      </c>
      <c r="N1039" t="inlineStr">
        <is>
          <t>low sample</t>
        </is>
      </c>
    </row>
    <row r="1040">
      <c r="A1040" t="n">
        <v>119</v>
      </c>
      <c r="B1040" t="inlineStr">
        <is>
          <t>Sherekhan (Night)</t>
        </is>
      </c>
      <c r="C1040" t="inlineStr">
        <is>
          <t>Mass of Pure Magic</t>
        </is>
      </c>
      <c r="D1040" t="n">
        <v>0.06906076999999999</v>
      </c>
      <c r="E1040" t="n">
        <v>1931.7</v>
      </c>
      <c r="F1040" s="3" t="n">
        <v>0.03575129160842781</v>
      </c>
      <c r="G1040" t="n">
        <v>27971</v>
      </c>
      <c r="H1040" s="3" t="n">
        <v>0</v>
      </c>
      <c r="I1040" s="3" t="n">
        <v>0.2799585162032432</v>
      </c>
      <c r="J1040" t="n">
        <v>0.6</v>
      </c>
      <c r="K1040">
        <f>IF(IFERROR(INDEX(Spots!$K$2:$K$96,MATCH(A1040,Spots!$A$2:$A$96,0)),"")="","",IFERROR(INDEX(Spots!$K$2:$K$96,MATCH(A1040,Spots!$A$2:$A$96,0)),""))</f>
        <v/>
      </c>
      <c r="L1040" s="3">
        <f>IF(OR(K1040="",F1040=""),"",F1040/1000*K1040*100)</f>
        <v/>
      </c>
      <c r="M1040">
        <f>IF(OR(L1040="",L1040=0),"",ROUND(100/L1040,0))</f>
        <v/>
      </c>
      <c r="N1040" t="inlineStr">
        <is>
          <t>low sample</t>
        </is>
      </c>
    </row>
    <row r="1041">
      <c r="A1041" t="n">
        <v>119</v>
      </c>
      <c r="B1041" t="inlineStr">
        <is>
          <t>Sherekhan (Night)</t>
        </is>
      </c>
      <c r="C1041" t="inlineStr">
        <is>
          <t>Imperfect Lightstone of Earth</t>
        </is>
      </c>
      <c r="D1041" t="n">
        <v>0.01139149</v>
      </c>
      <c r="E1041" t="n">
        <v>1931.7</v>
      </c>
      <c r="F1041" s="3" t="n">
        <v>0.005897132059843662</v>
      </c>
      <c r="G1041" t="n">
        <v>169574</v>
      </c>
      <c r="H1041" s="3" t="n">
        <v>0</v>
      </c>
      <c r="I1041" s="3" t="n">
        <v>0.2221736285390137</v>
      </c>
      <c r="J1041" t="n">
        <v>0.1</v>
      </c>
      <c r="K1041">
        <f>IF(IFERROR(INDEX(Spots!$K$2:$K$96,MATCH(A1041,Spots!$A$2:$A$96,0)),"")="","",IFERROR(INDEX(Spots!$K$2:$K$96,MATCH(A1041,Spots!$A$2:$A$96,0)),""))</f>
        <v/>
      </c>
      <c r="L1041" s="3">
        <f>IF(OR(K1041="",F1041=""),"",F1041/1000*K1041*100)</f>
        <v/>
      </c>
      <c r="M1041">
        <f>IF(OR(L1041="",L1041=0),"",ROUND(100/L1041,0))</f>
        <v/>
      </c>
      <c r="N1041" t="inlineStr">
        <is>
          <t>low sample</t>
        </is>
      </c>
    </row>
    <row r="1042">
      <c r="A1042" t="n">
        <v>119</v>
      </c>
      <c r="B1042" t="inlineStr">
        <is>
          <t>Sherekhan (Night)</t>
        </is>
      </c>
      <c r="C1042" t="inlineStr">
        <is>
          <t>Combined Magic Crystal - Gervish</t>
        </is>
      </c>
      <c r="D1042" t="n">
        <v>0</v>
      </c>
      <c r="E1042" t="n">
        <v>1931.7</v>
      </c>
      <c r="F1042" s="3" t="n">
        <v>0</v>
      </c>
      <c r="H1042" s="3" t="n">
        <v>0</v>
      </c>
      <c r="I1042" s="3" t="n">
        <v>0.2110184342249134</v>
      </c>
      <c r="J1042" t="n">
        <v>0</v>
      </c>
      <c r="K1042">
        <f>IF(IFERROR(INDEX(Spots!$K$2:$K$96,MATCH(A1042,Spots!$A$2:$A$96,0)),"")="","",IFERROR(INDEX(Spots!$K$2:$K$96,MATCH(A1042,Spots!$A$2:$A$96,0)),""))</f>
        <v/>
      </c>
      <c r="L1042" s="3">
        <f>IF(OR(K1042="",F1042=""),"",F1042/1000*K1042*100)</f>
        <v/>
      </c>
      <c r="M1042">
        <f>IF(OR(L1042="",L1042=0),"",ROUND(100/L1042,0))</f>
        <v/>
      </c>
      <c r="N1042" t="inlineStr">
        <is>
          <t>no drops recorded</t>
        </is>
      </c>
    </row>
    <row r="1043">
      <c r="A1043" t="n">
        <v>119</v>
      </c>
      <c r="B1043" t="inlineStr">
        <is>
          <t>Sherekhan (Night)</t>
        </is>
      </c>
      <c r="C1043" t="inlineStr">
        <is>
          <t>Ancient Sherekhan's Panacea</t>
        </is>
      </c>
      <c r="D1043" t="n">
        <v>0</v>
      </c>
      <c r="E1043" t="n">
        <v>1931.7</v>
      </c>
      <c r="F1043" s="3" t="n">
        <v>0</v>
      </c>
      <c r="H1043" s="3" t="n">
        <v>0</v>
      </c>
      <c r="I1043" s="3" t="n">
        <v>0.2110184342249134</v>
      </c>
      <c r="J1043" t="n">
        <v>0</v>
      </c>
      <c r="K1043">
        <f>IF(IFERROR(INDEX(Spots!$K$2:$K$96,MATCH(A1043,Spots!$A$2:$A$96,0)),"")="","",IFERROR(INDEX(Spots!$K$2:$K$96,MATCH(A1043,Spots!$A$2:$A$96,0)),""))</f>
        <v/>
      </c>
      <c r="L1043" s="3">
        <f>IF(OR(K1043="",F1043=""),"",F1043/1000*K1043*100)</f>
        <v/>
      </c>
      <c r="M1043">
        <f>IF(OR(L1043="",L1043=0),"",ROUND(100/L1043,0))</f>
        <v/>
      </c>
      <c r="N1043" t="inlineStr">
        <is>
          <t>no drops recorded</t>
        </is>
      </c>
    </row>
    <row r="1044">
      <c r="A1044" t="n">
        <v>119</v>
      </c>
      <c r="B1044" t="inlineStr">
        <is>
          <t>Sherekhan (Night)</t>
        </is>
      </c>
      <c r="C1044" t="inlineStr">
        <is>
          <t>Imperfect Lightstone of Fire</t>
        </is>
      </c>
      <c r="D1044" t="n">
        <v>0</v>
      </c>
      <c r="E1044" t="n">
        <v>1931.7</v>
      </c>
      <c r="F1044" s="3" t="n">
        <v>0</v>
      </c>
      <c r="H1044" s="3" t="n">
        <v>0</v>
      </c>
      <c r="I1044" s="3" t="n">
        <v>0.2110184342249134</v>
      </c>
      <c r="J1044" t="n">
        <v>0</v>
      </c>
      <c r="K1044">
        <f>IF(IFERROR(INDEX(Spots!$K$2:$K$96,MATCH(A1044,Spots!$A$2:$A$96,0)),"")="","",IFERROR(INDEX(Spots!$K$2:$K$96,MATCH(A1044,Spots!$A$2:$A$96,0)),""))</f>
        <v/>
      </c>
      <c r="L1044" s="3">
        <f>IF(OR(K1044="",F1044=""),"",F1044/1000*K1044*100)</f>
        <v/>
      </c>
      <c r="M1044">
        <f>IF(OR(L1044="",L1044=0),"",ROUND(100/L1044,0))</f>
        <v/>
      </c>
      <c r="N1044" t="inlineStr">
        <is>
          <t>no drops recorded</t>
        </is>
      </c>
    </row>
    <row r="1045">
      <c r="A1045" t="n">
        <v>119</v>
      </c>
      <c r="B1045" t="inlineStr">
        <is>
          <t>Sherekhan (Night)</t>
        </is>
      </c>
      <c r="C1045" t="inlineStr">
        <is>
          <t>Imperfect Lightstone of Wind</t>
        </is>
      </c>
      <c r="D1045" t="n">
        <v>0</v>
      </c>
      <c r="E1045" t="n">
        <v>1931.7</v>
      </c>
      <c r="F1045" s="3" t="n">
        <v>0</v>
      </c>
      <c r="H1045" s="3" t="n">
        <v>0</v>
      </c>
      <c r="I1045" s="3" t="n">
        <v>0.2110184342249134</v>
      </c>
      <c r="J1045" t="n">
        <v>0</v>
      </c>
      <c r="K1045">
        <f>IF(IFERROR(INDEX(Spots!$K$2:$K$96,MATCH(A1045,Spots!$A$2:$A$96,0)),"")="","",IFERROR(INDEX(Spots!$K$2:$K$96,MATCH(A1045,Spots!$A$2:$A$96,0)),""))</f>
        <v/>
      </c>
      <c r="L1045" s="3">
        <f>IF(OR(K1045="",F1045=""),"",F1045/1000*K1045*100)</f>
        <v/>
      </c>
      <c r="M1045">
        <f>IF(OR(L1045="",L1045=0),"",ROUND(100/L1045,0))</f>
        <v/>
      </c>
      <c r="N1045" t="inlineStr">
        <is>
          <t>no drops recorded</t>
        </is>
      </c>
    </row>
    <row r="1046">
      <c r="A1046" t="n">
        <v>200</v>
      </c>
      <c r="B1046" t="inlineStr">
        <is>
          <t>Star's End</t>
        </is>
      </c>
      <c r="C1046" t="inlineStr">
        <is>
          <t>Black Stone</t>
        </is>
      </c>
      <c r="D1046" t="n">
        <v>29.041</v>
      </c>
      <c r="E1046" t="n">
        <v>5582.1</v>
      </c>
      <c r="F1046" s="3" t="n">
        <v>5.202522348220204</v>
      </c>
      <c r="G1046" t="n">
        <v>192</v>
      </c>
      <c r="H1046" s="3" t="n">
        <v>5.123425879319146</v>
      </c>
      <c r="I1046" s="3" t="n">
        <v>5.282534124250994</v>
      </c>
      <c r="J1046" t="n">
        <v>16494.8</v>
      </c>
      <c r="K1046">
        <f>IF(IFERROR(INDEX(Spots!$K$2:$K$96,MATCH(A1046,Spots!$A$2:$A$96,0)),"")="","",IFERROR(INDEX(Spots!$K$2:$K$96,MATCH(A1046,Spots!$A$2:$A$96,0)),""))</f>
        <v/>
      </c>
      <c r="L1046" s="3">
        <f>IF(OR(K1046="",F1046=""),"",F1046/1000*K1046*100)</f>
        <v/>
      </c>
      <c r="M1046">
        <f>IF(OR(L1046="",L1046=0),"",ROUND(100/L1046,0))</f>
        <v/>
      </c>
      <c r="N1046" t="inlineStr"/>
    </row>
    <row r="1047">
      <c r="A1047" t="n">
        <v>200</v>
      </c>
      <c r="B1047" t="inlineStr">
        <is>
          <t>Star's End</t>
        </is>
      </c>
      <c r="C1047" t="inlineStr">
        <is>
          <t>Ancient Spirit Dust</t>
        </is>
      </c>
      <c r="D1047" t="n">
        <v>24.037</v>
      </c>
      <c r="E1047" t="n">
        <v>5582.1</v>
      </c>
      <c r="F1047" s="3" t="n">
        <v>4.306085523369341</v>
      </c>
      <c r="G1047" t="n">
        <v>232</v>
      </c>
      <c r="H1047" s="3" t="n">
        <v>4.234152502227468</v>
      </c>
      <c r="I1047" s="3" t="n">
        <v>4.378934089470727</v>
      </c>
      <c r="J1047" t="n">
        <v>13652.6</v>
      </c>
      <c r="K1047">
        <f>IF(IFERROR(INDEX(Spots!$K$2:$K$96,MATCH(A1047,Spots!$A$2:$A$96,0)),"")="","",IFERROR(INDEX(Spots!$K$2:$K$96,MATCH(A1047,Spots!$A$2:$A$96,0)),""))</f>
        <v/>
      </c>
      <c r="L1047" s="3">
        <f>IF(OR(K1047="",F1047=""),"",F1047/1000*K1047*100)</f>
        <v/>
      </c>
      <c r="M1047">
        <f>IF(OR(L1047="",L1047=0),"",ROUND(100/L1047,0))</f>
        <v/>
      </c>
      <c r="N1047" t="inlineStr"/>
    </row>
    <row r="1048">
      <c r="A1048" t="n">
        <v>200</v>
      </c>
      <c r="B1048" t="inlineStr">
        <is>
          <t>Star's End</t>
        </is>
      </c>
      <c r="C1048" t="inlineStr">
        <is>
          <t>Unknown</t>
        </is>
      </c>
      <c r="D1048" t="n">
        <v>6.380245</v>
      </c>
      <c r="E1048" t="n">
        <v>5582.1</v>
      </c>
      <c r="F1048" s="3" t="n">
        <v>1.142982927572061</v>
      </c>
      <c r="G1048" t="n">
        <v>875</v>
      </c>
      <c r="H1048" s="3" t="n">
        <v>1.106068233695965</v>
      </c>
      <c r="I1048" s="3" t="n">
        <v>1.180815641981226</v>
      </c>
      <c r="J1048" t="n">
        <v>3623.9</v>
      </c>
      <c r="K1048">
        <f>IF(IFERROR(INDEX(Spots!$K$2:$K$96,MATCH(A1048,Spots!$A$2:$A$96,0)),"")="","",IFERROR(INDEX(Spots!$K$2:$K$96,MATCH(A1048,Spots!$A$2:$A$96,0)),""))</f>
        <v/>
      </c>
      <c r="L1048" s="3">
        <f>IF(OR(K1048="",F1048=""),"",F1048/1000*K1048*100)</f>
        <v/>
      </c>
      <c r="M1048">
        <f>IF(OR(L1048="",L1048=0),"",ROUND(100/L1048,0))</f>
        <v/>
      </c>
      <c r="N1048" t="inlineStr"/>
    </row>
    <row r="1049">
      <c r="A1049" t="n">
        <v>200</v>
      </c>
      <c r="B1049" t="inlineStr">
        <is>
          <t>Star's End</t>
        </is>
      </c>
      <c r="C1049" t="inlineStr">
        <is>
          <t>Caphras Stone</t>
        </is>
      </c>
      <c r="D1049" t="n">
        <v>5.278769</v>
      </c>
      <c r="E1049" t="n">
        <v>5582.1</v>
      </c>
      <c r="F1049" s="3" t="n">
        <v>0.9456600562512315</v>
      </c>
      <c r="G1049" t="n">
        <v>1057</v>
      </c>
      <c r="H1049" s="3" t="n">
        <v>0.9121098290895309</v>
      </c>
      <c r="I1049" s="3" t="n">
        <v>0.980128810380264</v>
      </c>
      <c r="J1049" t="n">
        <v>2998.3</v>
      </c>
      <c r="K1049">
        <f>IF(IFERROR(INDEX(Spots!$K$2:$K$96,MATCH(A1049,Spots!$A$2:$A$96,0)),"")="","",IFERROR(INDEX(Spots!$K$2:$K$96,MATCH(A1049,Spots!$A$2:$A$96,0)),""))</f>
        <v/>
      </c>
      <c r="L1049" s="3">
        <f>IF(OR(K1049="",F1049=""),"",F1049/1000*K1049*100)</f>
        <v/>
      </c>
      <c r="M1049">
        <f>IF(OR(L1049="",L1049=0),"",ROUND(100/L1049,0))</f>
        <v/>
      </c>
      <c r="N1049" t="inlineStr"/>
    </row>
    <row r="1050">
      <c r="A1050" t="n">
        <v>200</v>
      </c>
      <c r="B1050" t="inlineStr">
        <is>
          <t>Star's End</t>
        </is>
      </c>
      <c r="C1050" t="inlineStr">
        <is>
          <t>Sealed Black Magic Crystal</t>
        </is>
      </c>
      <c r="D1050" t="n">
        <v>3.097568</v>
      </c>
      <c r="E1050" t="n">
        <v>5582.1</v>
      </c>
      <c r="F1050" s="3" t="n">
        <v>0.5549108758352591</v>
      </c>
      <c r="G1050" t="n">
        <v>1802</v>
      </c>
      <c r="H1050" s="3" t="n">
        <v>0.529280870777244</v>
      </c>
      <c r="I1050" s="3" t="n">
        <v>0.5814611160543488</v>
      </c>
      <c r="J1050" t="n">
        <v>1759.4</v>
      </c>
      <c r="K1050">
        <f>IF(IFERROR(INDEX(Spots!$K$2:$K$96,MATCH(A1050,Spots!$A$2:$A$96,0)),"")="","",IFERROR(INDEX(Spots!$K$2:$K$96,MATCH(A1050,Spots!$A$2:$A$96,0)),""))</f>
        <v/>
      </c>
      <c r="L1050" s="3">
        <f>IF(OR(K1050="",F1050=""),"",F1050/1000*K1050*100)</f>
        <v/>
      </c>
      <c r="M1050">
        <f>IF(OR(L1050="",L1050=0),"",ROUND(100/L1050,0))</f>
        <v/>
      </c>
      <c r="N1050" t="inlineStr"/>
    </row>
    <row r="1051">
      <c r="A1051" t="n">
        <v>200</v>
      </c>
      <c r="B1051" t="inlineStr">
        <is>
          <t>Star's End</t>
        </is>
      </c>
      <c r="C1051" t="inlineStr">
        <is>
          <t>Gluttony Crystal</t>
        </is>
      </c>
      <c r="D1051" t="n">
        <v>2.82535</v>
      </c>
      <c r="E1051" t="n">
        <v>5582.1</v>
      </c>
      <c r="F1051" s="3" t="n">
        <v>0.5061446409057522</v>
      </c>
      <c r="G1051" t="n">
        <v>1976</v>
      </c>
      <c r="H1051" s="3" t="n">
        <v>0.4816802622744722</v>
      </c>
      <c r="I1051" s="3" t="n">
        <v>0.5315295977976551</v>
      </c>
      <c r="J1051" t="n">
        <v>1604.8</v>
      </c>
      <c r="K1051">
        <f>IF(IFERROR(INDEX(Spots!$K$2:$K$96,MATCH(A1051,Spots!$A$2:$A$96,0)),"")="","",IFERROR(INDEX(Spots!$K$2:$K$96,MATCH(A1051,Spots!$A$2:$A$96,0)),""))</f>
        <v/>
      </c>
      <c r="L1051" s="3">
        <f>IF(OR(K1051="",F1051=""),"",F1051/1000*K1051*100)</f>
        <v/>
      </c>
      <c r="M1051">
        <f>IF(OR(L1051="",L1051=0),"",ROUND(100/L1051,0))</f>
        <v/>
      </c>
      <c r="N1051" t="inlineStr"/>
    </row>
    <row r="1052">
      <c r="A1052" t="n">
        <v>200</v>
      </c>
      <c r="B1052" t="inlineStr">
        <is>
          <t>Star's End</t>
        </is>
      </c>
      <c r="C1052" t="inlineStr">
        <is>
          <t>Deboreka Earring</t>
        </is>
      </c>
      <c r="D1052" t="n">
        <v>0.35030867</v>
      </c>
      <c r="E1052" t="n">
        <v>5582.1</v>
      </c>
      <c r="F1052" s="3" t="n">
        <v>0.06275571379946614</v>
      </c>
      <c r="G1052" t="n">
        <v>15935</v>
      </c>
      <c r="H1052" s="3" t="n">
        <v>0.05433780570404877</v>
      </c>
      <c r="I1052" s="3" t="n">
        <v>0.07210808771261727</v>
      </c>
      <c r="J1052" t="n">
        <v>199</v>
      </c>
      <c r="K1052">
        <f>IF(IFERROR(INDEX(Spots!$K$2:$K$96,MATCH(A1052,Spots!$A$2:$A$96,0)),"")="","",IFERROR(INDEX(Spots!$K$2:$K$96,MATCH(A1052,Spots!$A$2:$A$96,0)),""))</f>
        <v/>
      </c>
      <c r="L1052" s="3">
        <f>IF(OR(K1052="",F1052=""),"",F1052/1000*K1052*100)</f>
        <v/>
      </c>
      <c r="M1052">
        <f>IF(OR(L1052="",L1052=0),"",ROUND(100/L1052,0))</f>
        <v/>
      </c>
      <c r="N1052" t="inlineStr"/>
    </row>
    <row r="1053">
      <c r="A1053" t="n">
        <v>200</v>
      </c>
      <c r="B1053" t="inlineStr">
        <is>
          <t>Star's End</t>
        </is>
      </c>
      <c r="C1053" t="inlineStr">
        <is>
          <t>Black Distortion Earring</t>
        </is>
      </c>
      <c r="D1053" t="n">
        <v>0.16173586</v>
      </c>
      <c r="E1053" t="n">
        <v>5582.1</v>
      </c>
      <c r="F1053" s="3" t="n">
        <v>0.0289740169470271</v>
      </c>
      <c r="G1053" t="n">
        <v>34514</v>
      </c>
      <c r="H1053" s="3" t="n">
        <v>0.02335247874126654</v>
      </c>
      <c r="I1053" s="3" t="n">
        <v>0.03553993057058223</v>
      </c>
      <c r="J1053" t="n">
        <v>91.90000000000001</v>
      </c>
      <c r="K1053">
        <f>IF(IFERROR(INDEX(Spots!$K$2:$K$96,MATCH(A1053,Spots!$A$2:$A$96,0)),"")="","",IFERROR(INDEX(Spots!$K$2:$K$96,MATCH(A1053,Spots!$A$2:$A$96,0)),""))</f>
        <v/>
      </c>
      <c r="L1053" s="3">
        <f>IF(OR(K1053="",F1053=""),"",F1053/1000*K1053*100)</f>
        <v/>
      </c>
      <c r="M1053">
        <f>IF(OR(L1053="",L1053=0),"",ROUND(100/L1053,0))</f>
        <v/>
      </c>
      <c r="N1053" t="inlineStr"/>
    </row>
    <row r="1054">
      <c r="A1054" t="n">
        <v>200</v>
      </c>
      <c r="B1054" t="inlineStr">
        <is>
          <t>Star's End</t>
        </is>
      </c>
      <c r="C1054" t="inlineStr">
        <is>
          <t>Clear Blackstar Crystal</t>
        </is>
      </c>
      <c r="D1054" t="n">
        <v>0.14267199</v>
      </c>
      <c r="E1054" t="n">
        <v>5582.1</v>
      </c>
      <c r="F1054" s="3" t="n">
        <v>0.02555883807169345</v>
      </c>
      <c r="G1054" t="n">
        <v>39125</v>
      </c>
      <c r="H1054" s="3" t="n">
        <v>0.02029772401672454</v>
      </c>
      <c r="I1054" s="3" t="n">
        <v>0.03176630678929582</v>
      </c>
      <c r="J1054" t="n">
        <v>81</v>
      </c>
      <c r="K1054">
        <f>IF(IFERROR(INDEX(Spots!$K$2:$K$96,MATCH(A1054,Spots!$A$2:$A$96,0)),"")="","",IFERROR(INDEX(Spots!$K$2:$K$96,MATCH(A1054,Spots!$A$2:$A$96,0)),""))</f>
        <v/>
      </c>
      <c r="L1054" s="3">
        <f>IF(OR(K1054="",F1054=""),"",F1054/1000*K1054*100)</f>
        <v/>
      </c>
      <c r="M1054">
        <f>IF(OR(L1054="",L1054=0),"",ROUND(100/L1054,0))</f>
        <v/>
      </c>
      <c r="N1054" t="inlineStr"/>
    </row>
    <row r="1055">
      <c r="A1055" t="n">
        <v>200</v>
      </c>
      <c r="B1055" t="inlineStr">
        <is>
          <t>Star's End</t>
        </is>
      </c>
      <c r="C1055" t="inlineStr">
        <is>
          <t>Unknown</t>
        </is>
      </c>
      <c r="D1055" t="n">
        <v>0.03372044</v>
      </c>
      <c r="E1055" t="n">
        <v>5582.1</v>
      </c>
      <c r="F1055" s="3" t="n">
        <v>0.006040816180290571</v>
      </c>
      <c r="G1055" t="n">
        <v>165541</v>
      </c>
      <c r="H1055" s="3" t="n">
        <v>0.003643597244637161</v>
      </c>
      <c r="I1055" s="3" t="n">
        <v>0.009417563745519669</v>
      </c>
      <c r="J1055" t="n">
        <v>19.2</v>
      </c>
      <c r="K1055">
        <f>IF(IFERROR(INDEX(Spots!$K$2:$K$96,MATCH(A1055,Spots!$A$2:$A$96,0)),"")="","",IFERROR(INDEX(Spots!$K$2:$K$96,MATCH(A1055,Spots!$A$2:$A$96,0)),""))</f>
        <v/>
      </c>
      <c r="L1055" s="3">
        <f>IF(OR(K1055="",F1055=""),"",F1055/1000*K1055*100)</f>
        <v/>
      </c>
      <c r="M1055">
        <f>IF(OR(L1055="",L1055=0),"",ROUND(100/L1055,0))</f>
        <v/>
      </c>
      <c r="N1055" t="inlineStr">
        <is>
          <t>low sample</t>
        </is>
      </c>
    </row>
    <row r="1056">
      <c r="A1056" t="n">
        <v>200</v>
      </c>
      <c r="B1056" t="inlineStr">
        <is>
          <t>Star's End</t>
        </is>
      </c>
      <c r="C1056" t="inlineStr">
        <is>
          <t>Corrupted Gluttony Crystal</t>
        </is>
      </c>
      <c r="D1056" t="n">
        <v>0.00436437</v>
      </c>
      <c r="E1056" t="n">
        <v>5582.1</v>
      </c>
      <c r="F1056" s="3" t="n">
        <v>0.0007818509163218144</v>
      </c>
      <c r="G1056" t="n">
        <v>1279016</v>
      </c>
      <c r="H1056" s="3" t="n">
        <v>0.0001232618905511505</v>
      </c>
      <c r="I1056" s="3" t="n">
        <v>0.002514145180383189</v>
      </c>
      <c r="J1056" t="n">
        <v>2.5</v>
      </c>
      <c r="K1056">
        <f>IF(IFERROR(INDEX(Spots!$K$2:$K$96,MATCH(A1056,Spots!$A$2:$A$96,0)),"")="","",IFERROR(INDEX(Spots!$K$2:$K$96,MATCH(A1056,Spots!$A$2:$A$96,0)),""))</f>
        <v/>
      </c>
      <c r="L1056" s="3">
        <f>IF(OR(K1056="",F1056=""),"",F1056/1000*K1056*100)</f>
        <v/>
      </c>
      <c r="M1056">
        <f>IF(OR(L1056="",L1056=0),"",ROUND(100/L1056,0))</f>
        <v/>
      </c>
      <c r="N1056" t="inlineStr">
        <is>
          <t>low sample</t>
        </is>
      </c>
    </row>
    <row r="1057">
      <c r="A1057" t="n">
        <v>200</v>
      </c>
      <c r="B1057" t="inlineStr">
        <is>
          <t>Star's End</t>
        </is>
      </c>
      <c r="C1057" t="inlineStr">
        <is>
          <t>Origin of Corruption</t>
        </is>
      </c>
      <c r="D1057" t="n">
        <v>0.00187415</v>
      </c>
      <c r="E1057" t="n">
        <v>5582.1</v>
      </c>
      <c r="F1057" s="3" t="n">
        <v>0.0003357428208022071</v>
      </c>
      <c r="G1057" t="n">
        <v>2978470</v>
      </c>
      <c r="H1057" s="3" t="n">
        <v>6.064903591617803e-06</v>
      </c>
      <c r="I1057" s="3" t="n">
        <v>0.001790132236542119</v>
      </c>
      <c r="J1057" t="n">
        <v>1.1</v>
      </c>
      <c r="K1057">
        <f>IF(IFERROR(INDEX(Spots!$K$2:$K$96,MATCH(A1057,Spots!$A$2:$A$96,0)),"")="","",IFERROR(INDEX(Spots!$K$2:$K$96,MATCH(A1057,Spots!$A$2:$A$96,0)),""))</f>
        <v/>
      </c>
      <c r="L1057" s="3">
        <f>IF(OR(K1057="",F1057=""),"",F1057/1000*K1057*100)</f>
        <v/>
      </c>
      <c r="M1057">
        <f>IF(OR(L1057="",L1057=0),"",ROUND(100/L1057,0))</f>
        <v/>
      </c>
      <c r="N1057" t="inlineStr">
        <is>
          <t>low sample</t>
        </is>
      </c>
    </row>
    <row r="1058">
      <c r="A1058" t="n">
        <v>14</v>
      </c>
      <c r="B1058" t="inlineStr">
        <is>
          <t>Swamp Fogan Habitat</t>
        </is>
      </c>
      <c r="C1058" t="inlineStr">
        <is>
          <t>Bruised Naga Fin</t>
        </is>
      </c>
      <c r="D1058" t="n">
        <v>228.45</v>
      </c>
      <c r="E1058" t="n">
        <v>7046.6</v>
      </c>
      <c r="F1058" s="3" t="n">
        <v>32.4198904436182</v>
      </c>
      <c r="G1058" t="n">
        <v>31</v>
      </c>
      <c r="H1058" s="3" t="n">
        <v>32.25883912819295</v>
      </c>
      <c r="I1058" s="3" t="n">
        <v>32.58154654611452</v>
      </c>
      <c r="J1058" t="n">
        <v>155288.9</v>
      </c>
      <c r="K1058">
        <f>IF(IFERROR(INDEX(Spots!$K$2:$K$96,MATCH(A1058,Spots!$A$2:$A$96,0)),"")="","",IFERROR(INDEX(Spots!$K$2:$K$96,MATCH(A1058,Spots!$A$2:$A$96,0)),""))</f>
        <v/>
      </c>
      <c r="L1058" s="3">
        <f>IF(OR(K1058="",F1058=""),"",F1058/1000*K1058*100)</f>
        <v/>
      </c>
      <c r="M1058">
        <f>IF(OR(L1058="",L1058=0),"",ROUND(100/L1058,0))</f>
        <v/>
      </c>
      <c r="N1058" t="inlineStr"/>
    </row>
    <row r="1059">
      <c r="A1059" t="n">
        <v>14</v>
      </c>
      <c r="B1059" t="inlineStr">
        <is>
          <t>Swamp Fogan Habitat</t>
        </is>
      </c>
      <c r="C1059" t="inlineStr">
        <is>
          <t>Black Stone</t>
        </is>
      </c>
      <c r="D1059" t="n">
        <v>42.761</v>
      </c>
      <c r="E1059" t="n">
        <v>7046.6</v>
      </c>
      <c r="F1059" s="3" t="n">
        <v>6.068316634972894</v>
      </c>
      <c r="G1059" t="n">
        <v>165</v>
      </c>
      <c r="H1059" s="3" t="n">
        <v>5.998751474501222</v>
      </c>
      <c r="I1059" s="3" t="n">
        <v>6.138487262137728</v>
      </c>
      <c r="J1059" t="n">
        <v>29066.8</v>
      </c>
      <c r="K1059">
        <f>IF(IFERROR(INDEX(Spots!$K$2:$K$96,MATCH(A1059,Spots!$A$2:$A$96,0)),"")="","",IFERROR(INDEX(Spots!$K$2:$K$96,MATCH(A1059,Spots!$A$2:$A$96,0)),""))</f>
        <v/>
      </c>
      <c r="L1059" s="3">
        <f>IF(OR(K1059="",F1059=""),"",F1059/1000*K1059*100)</f>
        <v/>
      </c>
      <c r="M1059">
        <f>IF(OR(L1059="",L1059=0),"",ROUND(100/L1059,0))</f>
        <v/>
      </c>
      <c r="N1059" t="inlineStr"/>
    </row>
    <row r="1060">
      <c r="A1060" t="n">
        <v>14</v>
      </c>
      <c r="B1060" t="inlineStr">
        <is>
          <t>Swamp Fogan Habitat</t>
        </is>
      </c>
      <c r="C1060" t="inlineStr">
        <is>
          <t>Trace of Nature</t>
        </is>
      </c>
      <c r="D1060" t="n">
        <v>19.239</v>
      </c>
      <c r="E1060" t="n">
        <v>7046.6</v>
      </c>
      <c r="F1060" s="3" t="n">
        <v>2.730252887917577</v>
      </c>
      <c r="G1060" t="n">
        <v>366</v>
      </c>
      <c r="H1060" s="3" t="n">
        <v>2.68365660596037</v>
      </c>
      <c r="I1060" s="3" t="n">
        <v>2.777455223741854</v>
      </c>
      <c r="J1060" t="n">
        <v>13077.7</v>
      </c>
      <c r="K1060">
        <f>IF(IFERROR(INDEX(Spots!$K$2:$K$96,MATCH(A1060,Spots!$A$2:$A$96,0)),"")="","",IFERROR(INDEX(Spots!$K$2:$K$96,MATCH(A1060,Spots!$A$2:$A$96,0)),""))</f>
        <v/>
      </c>
      <c r="L1060" s="3">
        <f>IF(OR(K1060="",F1060=""),"",F1060/1000*K1060*100)</f>
        <v/>
      </c>
      <c r="M1060">
        <f>IF(OR(L1060="",L1060=0),"",ROUND(100/L1060,0))</f>
        <v/>
      </c>
      <c r="N1060" t="inlineStr"/>
    </row>
    <row r="1061">
      <c r="A1061" t="n">
        <v>14</v>
      </c>
      <c r="B1061" t="inlineStr">
        <is>
          <t>Swamp Fogan Habitat</t>
        </is>
      </c>
      <c r="C1061" t="inlineStr">
        <is>
          <t>Okiara's Tide</t>
        </is>
      </c>
      <c r="D1061" t="n">
        <v>4.956066</v>
      </c>
      <c r="E1061" t="n">
        <v>7046.6</v>
      </c>
      <c r="F1061" s="3" t="n">
        <v>0.7033272784037691</v>
      </c>
      <c r="G1061" t="n">
        <v>1422</v>
      </c>
      <c r="H1061" s="3" t="n">
        <v>0.6797752135229297</v>
      </c>
      <c r="I1061" s="3" t="n">
        <v>0.7274871231873868</v>
      </c>
      <c r="J1061" t="n">
        <v>3368.9</v>
      </c>
      <c r="K1061">
        <f>IF(IFERROR(INDEX(Spots!$K$2:$K$96,MATCH(A1061,Spots!$A$2:$A$96,0)),"")="","",IFERROR(INDEX(Spots!$K$2:$K$96,MATCH(A1061,Spots!$A$2:$A$96,0)),""))</f>
        <v/>
      </c>
      <c r="L1061" s="3">
        <f>IF(OR(K1061="",F1061=""),"",F1061/1000*K1061*100)</f>
        <v/>
      </c>
      <c r="M1061">
        <f>IF(OR(L1061="",L1061=0),"",ROUND(100/L1061,0))</f>
        <v/>
      </c>
      <c r="N1061" t="inlineStr"/>
    </row>
    <row r="1062">
      <c r="A1062" t="n">
        <v>14</v>
      </c>
      <c r="B1062" t="inlineStr">
        <is>
          <t>Swamp Fogan Habitat</t>
        </is>
      </c>
      <c r="C1062" t="inlineStr">
        <is>
          <t>Shard of the Tearful Night</t>
        </is>
      </c>
      <c r="D1062" t="n">
        <v>3.963136</v>
      </c>
      <c r="E1062" t="n">
        <v>7046.6</v>
      </c>
      <c r="F1062" s="3" t="n">
        <v>0.5624181874946783</v>
      </c>
      <c r="G1062" t="n">
        <v>1778</v>
      </c>
      <c r="H1062" s="3" t="n">
        <v>0.5413781805819959</v>
      </c>
      <c r="I1062" s="3" t="n">
        <v>0.5840663878907306</v>
      </c>
      <c r="J1062" t="n">
        <v>2693.9</v>
      </c>
      <c r="K1062">
        <f>IF(IFERROR(INDEX(Spots!$K$2:$K$96,MATCH(A1062,Spots!$A$2:$A$96,0)),"")="","",IFERROR(INDEX(Spots!$K$2:$K$96,MATCH(A1062,Spots!$A$2:$A$96,0)),""))</f>
        <v/>
      </c>
      <c r="L1062" s="3">
        <f>IF(OR(K1062="",F1062=""),"",F1062/1000*K1062*100)</f>
        <v/>
      </c>
      <c r="M1062">
        <f>IF(OR(L1062="",L1062=0),"",ROUND(100/L1062,0))</f>
        <v/>
      </c>
      <c r="N1062" t="inlineStr"/>
    </row>
    <row r="1063">
      <c r="A1063" t="n">
        <v>14</v>
      </c>
      <c r="B1063" t="inlineStr">
        <is>
          <t>Swamp Fogan Habitat</t>
        </is>
      </c>
      <c r="C1063" t="inlineStr">
        <is>
          <t>Sealed Black Magic Crystal</t>
        </is>
      </c>
      <c r="D1063" t="n">
        <v>2.363838</v>
      </c>
      <c r="E1063" t="n">
        <v>7046.6</v>
      </c>
      <c r="F1063" s="3" t="n">
        <v>0.3354579513524253</v>
      </c>
      <c r="G1063" t="n">
        <v>2981</v>
      </c>
      <c r="H1063" s="3" t="n">
        <v>0.3192539773492312</v>
      </c>
      <c r="I1063" s="3" t="n">
        <v>0.3522712696755844</v>
      </c>
      <c r="J1063" t="n">
        <v>1606.8</v>
      </c>
      <c r="K1063">
        <f>IF(IFERROR(INDEX(Spots!$K$2:$K$96,MATCH(A1063,Spots!$A$2:$A$96,0)),"")="","",IFERROR(INDEX(Spots!$K$2:$K$96,MATCH(A1063,Spots!$A$2:$A$96,0)),""))</f>
        <v/>
      </c>
      <c r="L1063" s="3">
        <f>IF(OR(K1063="",F1063=""),"",F1063/1000*K1063*100)</f>
        <v/>
      </c>
      <c r="M1063">
        <f>IF(OR(L1063="",L1063=0),"",ROUND(100/L1063,0))</f>
        <v/>
      </c>
      <c r="N1063" t="inlineStr"/>
    </row>
    <row r="1064">
      <c r="A1064" t="n">
        <v>14</v>
      </c>
      <c r="B1064" t="inlineStr">
        <is>
          <t>Swamp Fogan Habitat</t>
        </is>
      </c>
      <c r="C1064" t="inlineStr">
        <is>
          <t>Mass of Pure Magic</t>
        </is>
      </c>
      <c r="D1064" t="n">
        <v>1.614203</v>
      </c>
      <c r="E1064" t="n">
        <v>7046.6</v>
      </c>
      <c r="F1064" s="3" t="n">
        <v>0.2290754406380382</v>
      </c>
      <c r="G1064" t="n">
        <v>4365</v>
      </c>
      <c r="H1064" s="3" t="n">
        <v>0.2157197369476137</v>
      </c>
      <c r="I1064" s="3" t="n">
        <v>0.2430415480195183</v>
      </c>
      <c r="J1064" t="n">
        <v>1097.3</v>
      </c>
      <c r="K1064">
        <f>IF(IFERROR(INDEX(Spots!$K$2:$K$96,MATCH(A1064,Spots!$A$2:$A$96,0)),"")="","",IFERROR(INDEX(Spots!$K$2:$K$96,MATCH(A1064,Spots!$A$2:$A$96,0)),""))</f>
        <v/>
      </c>
      <c r="L1064" s="3">
        <f>IF(OR(K1064="",F1064=""),"",F1064/1000*K1064*100)</f>
        <v/>
      </c>
      <c r="M1064">
        <f>IF(OR(L1064="",L1064=0),"",ROUND(100/L1064,0))</f>
        <v/>
      </c>
      <c r="N1064" t="inlineStr"/>
    </row>
    <row r="1065">
      <c r="A1065" t="n">
        <v>14</v>
      </c>
      <c r="B1065" t="inlineStr">
        <is>
          <t>Swamp Fogan Habitat</t>
        </is>
      </c>
      <c r="C1065" t="inlineStr">
        <is>
          <t>Seed of Void</t>
        </is>
      </c>
      <c r="D1065" t="n">
        <v>1.487118</v>
      </c>
      <c r="E1065" t="n">
        <v>7046.6</v>
      </c>
      <c r="F1065" s="3" t="n">
        <v>0.2110405018022876</v>
      </c>
      <c r="G1065" t="n">
        <v>4738</v>
      </c>
      <c r="H1065" s="3" t="n">
        <v>0.1982293391034614</v>
      </c>
      <c r="I1065" s="3" t="n">
        <v>0.2244623231520144</v>
      </c>
      <c r="J1065" t="n">
        <v>1010.9</v>
      </c>
      <c r="K1065">
        <f>IF(IFERROR(INDEX(Spots!$K$2:$K$96,MATCH(A1065,Spots!$A$2:$A$96,0)),"")="","",IFERROR(INDEX(Spots!$K$2:$K$96,MATCH(A1065,Spots!$A$2:$A$96,0)),""))</f>
        <v/>
      </c>
      <c r="L1065" s="3">
        <f>IF(OR(K1065="",F1065=""),"",F1065/1000*K1065*100)</f>
        <v/>
      </c>
      <c r="M1065">
        <f>IF(OR(L1065="",L1065=0),"",ROUND(100/L1065,0))</f>
        <v/>
      </c>
      <c r="N1065" t="inlineStr"/>
    </row>
    <row r="1066">
      <c r="A1066" t="n">
        <v>14</v>
      </c>
      <c r="B1066" t="inlineStr">
        <is>
          <t>Swamp Fogan Habitat</t>
        </is>
      </c>
      <c r="C1066" t="inlineStr">
        <is>
          <t>Shard of the Drained Night</t>
        </is>
      </c>
      <c r="D1066" t="n">
        <v>0.17937564</v>
      </c>
      <c r="E1066" t="n">
        <v>7046.6</v>
      </c>
      <c r="F1066" s="3" t="n">
        <v>0.02545562966537053</v>
      </c>
      <c r="G1066" t="n">
        <v>39284</v>
      </c>
      <c r="H1066" s="3" t="n">
        <v>0.02113776784351677</v>
      </c>
      <c r="I1066" s="3" t="n">
        <v>0.03039590339641959</v>
      </c>
      <c r="J1066" t="n">
        <v>121.9</v>
      </c>
      <c r="K1066">
        <f>IF(IFERROR(INDEX(Spots!$K$2:$K$96,MATCH(A1066,Spots!$A$2:$A$96,0)),"")="","",IFERROR(INDEX(Spots!$K$2:$K$96,MATCH(A1066,Spots!$A$2:$A$96,0)),""))</f>
        <v/>
      </c>
      <c r="L1066" s="3">
        <f>IF(OR(K1066="",F1066=""),"",F1066/1000*K1066*100)</f>
        <v/>
      </c>
      <c r="M1066">
        <f>IF(OR(L1066="",L1066=0),"",ROUND(100/L1066,0))</f>
        <v/>
      </c>
      <c r="N1066" t="inlineStr"/>
    </row>
    <row r="1067">
      <c r="A1067" t="n">
        <v>14</v>
      </c>
      <c r="B1067" t="inlineStr">
        <is>
          <t>Swamp Fogan Habitat</t>
        </is>
      </c>
      <c r="C1067" t="inlineStr">
        <is>
          <t>Narc's Lightning</t>
        </is>
      </c>
      <c r="D1067" t="n">
        <v>0.16837693</v>
      </c>
      <c r="E1067" t="n">
        <v>7046.6</v>
      </c>
      <c r="F1067" s="3" t="n">
        <v>0.02389477620412681</v>
      </c>
      <c r="G1067" t="n">
        <v>41850</v>
      </c>
      <c r="H1067" s="3" t="n">
        <v>0.01971771484087835</v>
      </c>
      <c r="I1067" s="3" t="n">
        <v>0.02869481914657004</v>
      </c>
      <c r="J1067" t="n">
        <v>114.5</v>
      </c>
      <c r="K1067">
        <f>IF(IFERROR(INDEX(Spots!$K$2:$K$96,MATCH(A1067,Spots!$A$2:$A$96,0)),"")="","",IFERROR(INDEX(Spots!$K$2:$K$96,MATCH(A1067,Spots!$A$2:$A$96,0)),""))</f>
        <v/>
      </c>
      <c r="L1067" s="3">
        <f>IF(OR(K1067="",F1067=""),"",F1067/1000*K1067*100)</f>
        <v/>
      </c>
      <c r="M1067">
        <f>IF(OR(L1067="",L1067=0),"",ROUND(100/L1067,0))</f>
        <v/>
      </c>
      <c r="N1067" t="inlineStr"/>
    </row>
    <row r="1068">
      <c r="A1068" t="n">
        <v>14</v>
      </c>
      <c r="B1068" t="inlineStr">
        <is>
          <t>Swamp Fogan Habitat</t>
        </is>
      </c>
      <c r="C1068" t="inlineStr">
        <is>
          <t>Revived River Necklace</t>
        </is>
      </c>
      <c r="D1068" t="n">
        <v>0.14731549</v>
      </c>
      <c r="E1068" t="n">
        <v>7046.6</v>
      </c>
      <c r="F1068" s="3" t="n">
        <v>0.02090589646070445</v>
      </c>
      <c r="G1068" t="n">
        <v>47833</v>
      </c>
      <c r="H1068" s="3" t="n">
        <v>0.0170119518169002</v>
      </c>
      <c r="I1068" s="3" t="n">
        <v>0.0254240834129132</v>
      </c>
      <c r="J1068" t="n">
        <v>100.1</v>
      </c>
      <c r="K1068">
        <f>IF(IFERROR(INDEX(Spots!$K$2:$K$96,MATCH(A1068,Spots!$A$2:$A$96,0)),"")="","",IFERROR(INDEX(Spots!$K$2:$K$96,MATCH(A1068,Spots!$A$2:$A$96,0)),""))</f>
        <v/>
      </c>
      <c r="L1068" s="3">
        <f>IF(OR(K1068="",F1068=""),"",F1068/1000*K1068*100)</f>
        <v/>
      </c>
      <c r="M1068">
        <f>IF(OR(L1068="",L1068=0),"",ROUND(100/L1068,0))</f>
        <v/>
      </c>
      <c r="N1068" t="inlineStr"/>
    </row>
    <row r="1069">
      <c r="A1069" t="n">
        <v>14</v>
      </c>
      <c r="B1069" t="inlineStr">
        <is>
          <t>Swamp Fogan Habitat</t>
        </is>
      </c>
      <c r="C1069" t="inlineStr">
        <is>
          <t>Burning Valtarra's Jordun</t>
        </is>
      </c>
      <c r="D1069" t="n">
        <v>0.07854358</v>
      </c>
      <c r="E1069" t="n">
        <v>7046.6</v>
      </c>
      <c r="F1069" s="3" t="n">
        <v>0.01114630885817273</v>
      </c>
      <c r="G1069" t="n">
        <v>89716</v>
      </c>
      <c r="H1069" s="3" t="n">
        <v>0.00835820576328466</v>
      </c>
      <c r="I1069" s="3" t="n">
        <v>0.01456577609574431</v>
      </c>
      <c r="J1069" t="n">
        <v>53.4</v>
      </c>
      <c r="K1069">
        <f>IF(IFERROR(INDEX(Spots!$K$2:$K$96,MATCH(A1069,Spots!$A$2:$A$96,0)),"")="","",IFERROR(INDEX(Spots!$K$2:$K$96,MATCH(A1069,Spots!$A$2:$A$96,0)),""))</f>
        <v/>
      </c>
      <c r="L1069" s="3">
        <f>IF(OR(K1069="",F1069=""),"",F1069/1000*K1069*100)</f>
        <v/>
      </c>
      <c r="M1069">
        <f>IF(OR(L1069="",L1069=0),"",ROUND(100/L1069,0))</f>
        <v/>
      </c>
      <c r="N1069" t="inlineStr"/>
    </row>
    <row r="1070">
      <c r="A1070" t="n">
        <v>14</v>
      </c>
      <c r="B1070" t="inlineStr">
        <is>
          <t>Swamp Fogan Habitat</t>
        </is>
      </c>
      <c r="C1070" t="inlineStr">
        <is>
          <t>Revived Lunar Necklace</t>
        </is>
      </c>
      <c r="D1070" t="n">
        <v>0.0110637</v>
      </c>
      <c r="E1070" t="n">
        <v>7046.6</v>
      </c>
      <c r="F1070" s="3" t="n">
        <v>0.001570076348877473</v>
      </c>
      <c r="G1070" t="n">
        <v>636912</v>
      </c>
      <c r="H1070" s="3" t="n">
        <v>0.0006544282577782112</v>
      </c>
      <c r="I1070" s="3" t="n">
        <v>0.003157441305633639</v>
      </c>
      <c r="J1070" t="n">
        <v>7.5</v>
      </c>
      <c r="K1070">
        <f>IF(IFERROR(INDEX(Spots!$K$2:$K$96,MATCH(A1070,Spots!$A$2:$A$96,0)),"")="","",IFERROR(INDEX(Spots!$K$2:$K$96,MATCH(A1070,Spots!$A$2:$A$96,0)),""))</f>
        <v/>
      </c>
      <c r="L1070" s="3">
        <f>IF(OR(K1070="",F1070=""),"",F1070/1000*K1070*100)</f>
        <v/>
      </c>
      <c r="M1070">
        <f>IF(OR(L1070="",L1070=0),"",ROUND(100/L1070,0))</f>
        <v/>
      </c>
      <c r="N1070" t="inlineStr">
        <is>
          <t>low sample</t>
        </is>
      </c>
    </row>
    <row r="1071">
      <c r="A1071" t="n">
        <v>15</v>
      </c>
      <c r="B1071" t="inlineStr">
        <is>
          <t>Swamp Naga Habitat</t>
        </is>
      </c>
      <c r="C1071" t="inlineStr">
        <is>
          <t>Hardened Casque</t>
        </is>
      </c>
      <c r="D1071" t="n">
        <v>891.0700000000001</v>
      </c>
      <c r="E1071" t="n">
        <v>5975.7</v>
      </c>
      <c r="F1071" s="3" t="n">
        <v>149.1155847850461</v>
      </c>
      <c r="G1071" t="n">
        <v>7</v>
      </c>
      <c r="H1071" s="3" t="n">
        <v>148.3170400400174</v>
      </c>
      <c r="I1071" s="3" t="n">
        <v>149.9173630343607</v>
      </c>
      <c r="J1071" t="n">
        <v>133601.1</v>
      </c>
      <c r="K1071">
        <f>IF(IFERROR(INDEX(Spots!$K$2:$K$96,MATCH(A1071,Spots!$A$2:$A$96,0)),"")="","",IFERROR(INDEX(Spots!$K$2:$K$96,MATCH(A1071,Spots!$A$2:$A$96,0)),""))</f>
        <v/>
      </c>
      <c r="L1071" s="3">
        <f>IF(OR(K1071="",F1071=""),"",F1071/1000*K1071*100)</f>
        <v/>
      </c>
      <c r="M1071">
        <f>IF(OR(L1071="",L1071=0),"",ROUND(100/L1071,0))</f>
        <v/>
      </c>
      <c r="N1071" t="inlineStr"/>
    </row>
    <row r="1072">
      <c r="A1072" t="n">
        <v>15</v>
      </c>
      <c r="B1072" t="inlineStr">
        <is>
          <t>Swamp Naga Habitat</t>
        </is>
      </c>
      <c r="C1072" t="inlineStr">
        <is>
          <t>Black Stone</t>
        </is>
      </c>
      <c r="D1072" t="n">
        <v>40.784</v>
      </c>
      <c r="E1072" t="n">
        <v>5975.7</v>
      </c>
      <c r="F1072" s="3" t="n">
        <v>6.824974479977241</v>
      </c>
      <c r="G1072" t="n">
        <v>147</v>
      </c>
      <c r="H1072" s="3" t="n">
        <v>6.65496812926163</v>
      </c>
      <c r="I1072" s="3" t="n">
        <v>6.998225293096538</v>
      </c>
      <c r="J1072" t="n">
        <v>6114.9</v>
      </c>
      <c r="K1072">
        <f>IF(IFERROR(INDEX(Spots!$K$2:$K$96,MATCH(A1072,Spots!$A$2:$A$96,0)),"")="","",IFERROR(INDEX(Spots!$K$2:$K$96,MATCH(A1072,Spots!$A$2:$A$96,0)),""))</f>
        <v/>
      </c>
      <c r="L1072" s="3">
        <f>IF(OR(K1072="",F1072=""),"",F1072/1000*K1072*100)</f>
        <v/>
      </c>
      <c r="M1072">
        <f>IF(OR(L1072="",L1072=0),"",ROUND(100/L1072,0))</f>
        <v/>
      </c>
      <c r="N1072" t="inlineStr"/>
    </row>
    <row r="1073">
      <c r="A1073" t="n">
        <v>15</v>
      </c>
      <c r="B1073" t="inlineStr">
        <is>
          <t>Swamp Naga Habitat</t>
        </is>
      </c>
      <c r="C1073" t="inlineStr">
        <is>
          <t>Trace of Nature</t>
        </is>
      </c>
      <c r="D1073" t="n">
        <v>19.012</v>
      </c>
      <c r="E1073" t="n">
        <v>5975.7</v>
      </c>
      <c r="F1073" s="3" t="n">
        <v>3.181551952072561</v>
      </c>
      <c r="G1073" t="n">
        <v>314</v>
      </c>
      <c r="H1073" s="3" t="n">
        <v>3.065815272133568</v>
      </c>
      <c r="I1073" s="3" t="n">
        <v>3.300539548828001</v>
      </c>
      <c r="J1073" t="n">
        <v>2850.5</v>
      </c>
      <c r="K1073">
        <f>IF(IFERROR(INDEX(Spots!$K$2:$K$96,MATCH(A1073,Spots!$A$2:$A$96,0)),"")="","",IFERROR(INDEX(Spots!$K$2:$K$96,MATCH(A1073,Spots!$A$2:$A$96,0)),""))</f>
        <v/>
      </c>
      <c r="L1073" s="3">
        <f>IF(OR(K1073="",F1073=""),"",F1073/1000*K1073*100)</f>
        <v/>
      </c>
      <c r="M1073">
        <f>IF(OR(L1073="",L1073=0),"",ROUND(100/L1073,0))</f>
        <v/>
      </c>
      <c r="N1073" t="inlineStr"/>
    </row>
    <row r="1074">
      <c r="A1074" t="n">
        <v>15</v>
      </c>
      <c r="B1074" t="inlineStr">
        <is>
          <t>Swamp Naga Habitat</t>
        </is>
      </c>
      <c r="C1074" t="inlineStr">
        <is>
          <t>Sealed Black Magic Crystal</t>
        </is>
      </c>
      <c r="D1074" t="n">
        <v>3.29833</v>
      </c>
      <c r="E1074" t="n">
        <v>5975.7</v>
      </c>
      <c r="F1074" s="3" t="n">
        <v>0.5519570928928829</v>
      </c>
      <c r="G1074" t="n">
        <v>1812</v>
      </c>
      <c r="H1074" s="3" t="n">
        <v>0.5043738830178832</v>
      </c>
      <c r="I1074" s="3" t="n">
        <v>0.6028195109761162</v>
      </c>
      <c r="J1074" t="n">
        <v>494.5</v>
      </c>
      <c r="K1074">
        <f>IF(IFERROR(INDEX(Spots!$K$2:$K$96,MATCH(A1074,Spots!$A$2:$A$96,0)),"")="","",IFERROR(INDEX(Spots!$K$2:$K$96,MATCH(A1074,Spots!$A$2:$A$96,0)),""))</f>
        <v/>
      </c>
      <c r="L1074" s="3">
        <f>IF(OR(K1074="",F1074=""),"",F1074/1000*K1074*100)</f>
        <v/>
      </c>
      <c r="M1074">
        <f>IF(OR(L1074="",L1074=0),"",ROUND(100/L1074,0))</f>
        <v/>
      </c>
      <c r="N1074" t="inlineStr"/>
    </row>
    <row r="1075">
      <c r="A1075" t="n">
        <v>15</v>
      </c>
      <c r="B1075" t="inlineStr">
        <is>
          <t>Swamp Naga Habitat</t>
        </is>
      </c>
      <c r="C1075" t="inlineStr">
        <is>
          <t>Narc's Lightning</t>
        </is>
      </c>
      <c r="D1075" t="n">
        <v>3.039356</v>
      </c>
      <c r="E1075" t="n">
        <v>5975.7</v>
      </c>
      <c r="F1075" s="3" t="n">
        <v>0.5086192412604381</v>
      </c>
      <c r="G1075" t="n">
        <v>1966</v>
      </c>
      <c r="H1075" s="3" t="n">
        <v>0.4629852172039451</v>
      </c>
      <c r="I1075" s="3" t="n">
        <v>0.5575344835913523</v>
      </c>
      <c r="J1075" t="n">
        <v>455.7</v>
      </c>
      <c r="K1075">
        <f>IF(IFERROR(INDEX(Spots!$K$2:$K$96,MATCH(A1075,Spots!$A$2:$A$96,0)),"")="","",IFERROR(INDEX(Spots!$K$2:$K$96,MATCH(A1075,Spots!$A$2:$A$96,0)),""))</f>
        <v/>
      </c>
      <c r="L1075" s="3">
        <f>IF(OR(K1075="",F1075=""),"",F1075/1000*K1075*100)</f>
        <v/>
      </c>
      <c r="M1075">
        <f>IF(OR(L1075="",L1075=0),"",ROUND(100/L1075,0))</f>
        <v/>
      </c>
      <c r="N1075" t="inlineStr"/>
    </row>
    <row r="1076">
      <c r="A1076" t="n">
        <v>15</v>
      </c>
      <c r="B1076" t="inlineStr">
        <is>
          <t>Swamp Naga Habitat</t>
        </is>
      </c>
      <c r="C1076" t="inlineStr">
        <is>
          <t>Shard of the Drained Night</t>
        </is>
      </c>
      <c r="D1076" t="n">
        <v>2.450996</v>
      </c>
      <c r="E1076" t="n">
        <v>5975.7</v>
      </c>
      <c r="F1076" s="3" t="n">
        <v>0.4101604832906605</v>
      </c>
      <c r="G1076" t="n">
        <v>2438</v>
      </c>
      <c r="H1076" s="3" t="n">
        <v>0.3692902364970303</v>
      </c>
      <c r="I1076" s="3" t="n">
        <v>0.4543176370724225</v>
      </c>
      <c r="J1076" t="n">
        <v>367.5</v>
      </c>
      <c r="K1076">
        <f>IF(IFERROR(INDEX(Spots!$K$2:$K$96,MATCH(A1076,Spots!$A$2:$A$96,0)),"")="","",IFERROR(INDEX(Spots!$K$2:$K$96,MATCH(A1076,Spots!$A$2:$A$96,0)),""))</f>
        <v/>
      </c>
      <c r="L1076" s="3">
        <f>IF(OR(K1076="",F1076=""),"",F1076/1000*K1076*100)</f>
        <v/>
      </c>
      <c r="M1076">
        <f>IF(OR(L1076="",L1076=0),"",ROUND(100/L1076,0))</f>
        <v/>
      </c>
      <c r="N1076" t="inlineStr"/>
    </row>
    <row r="1077">
      <c r="A1077" t="n">
        <v>15</v>
      </c>
      <c r="B1077" t="inlineStr">
        <is>
          <t>Swamp Naga Habitat</t>
        </is>
      </c>
      <c r="C1077" t="inlineStr">
        <is>
          <t>Mass of Pure Magic</t>
        </is>
      </c>
      <c r="D1077" t="n">
        <v>1.414551</v>
      </c>
      <c r="E1077" t="n">
        <v>5975.7</v>
      </c>
      <c r="F1077" s="3" t="n">
        <v>0.2367172046789497</v>
      </c>
      <c r="G1077" t="n">
        <v>4224</v>
      </c>
      <c r="H1077" s="3" t="n">
        <v>0.2059271852838077</v>
      </c>
      <c r="I1077" s="3" t="n">
        <v>0.2708116793171454</v>
      </c>
      <c r="J1077" t="n">
        <v>212.1</v>
      </c>
      <c r="K1077">
        <f>IF(IFERROR(INDEX(Spots!$K$2:$K$96,MATCH(A1077,Spots!$A$2:$A$96,0)),"")="","",IFERROR(INDEX(Spots!$K$2:$K$96,MATCH(A1077,Spots!$A$2:$A$96,0)),""))</f>
        <v/>
      </c>
      <c r="L1077" s="3">
        <f>IF(OR(K1077="",F1077=""),"",F1077/1000*K1077*100)</f>
        <v/>
      </c>
      <c r="M1077">
        <f>IF(OR(L1077="",L1077=0),"",ROUND(100/L1077,0))</f>
        <v/>
      </c>
      <c r="N1077" t="inlineStr"/>
    </row>
    <row r="1078">
      <c r="A1078" t="n">
        <v>15</v>
      </c>
      <c r="B1078" t="inlineStr">
        <is>
          <t>Swamp Naga Habitat</t>
        </is>
      </c>
      <c r="C1078" t="inlineStr">
        <is>
          <t>Seed of Void</t>
        </is>
      </c>
      <c r="D1078" t="n">
        <v>1.239474</v>
      </c>
      <c r="E1078" t="n">
        <v>5975.7</v>
      </c>
      <c r="F1078" s="3" t="n">
        <v>0.2074190471409207</v>
      </c>
      <c r="G1078" t="n">
        <v>4821</v>
      </c>
      <c r="H1078" s="3" t="n">
        <v>0.1786664176678699</v>
      </c>
      <c r="I1078" s="3" t="n">
        <v>0.239481092298234</v>
      </c>
      <c r="J1078" t="n">
        <v>185.8</v>
      </c>
      <c r="K1078">
        <f>IF(IFERROR(INDEX(Spots!$K$2:$K$96,MATCH(A1078,Spots!$A$2:$A$96,0)),"")="","",IFERROR(INDEX(Spots!$K$2:$K$96,MATCH(A1078,Spots!$A$2:$A$96,0)),""))</f>
        <v/>
      </c>
      <c r="L1078" s="3">
        <f>IF(OR(K1078="",F1078=""),"",F1078/1000*K1078*100)</f>
        <v/>
      </c>
      <c r="M1078">
        <f>IF(OR(L1078="",L1078=0),"",ROUND(100/L1078,0))</f>
        <v/>
      </c>
      <c r="N1078" t="inlineStr"/>
    </row>
    <row r="1079">
      <c r="A1079" t="n">
        <v>15</v>
      </c>
      <c r="B1079" t="inlineStr">
        <is>
          <t>Swamp Naga Habitat</t>
        </is>
      </c>
      <c r="C1079" t="inlineStr">
        <is>
          <t>Okiara's Tide</t>
        </is>
      </c>
      <c r="D1079" t="n">
        <v>0.46332297</v>
      </c>
      <c r="E1079" t="n">
        <v>5975.7</v>
      </c>
      <c r="F1079" s="3" t="n">
        <v>0.07753450976454641</v>
      </c>
      <c r="G1079" t="n">
        <v>12897</v>
      </c>
      <c r="H1079" s="3" t="n">
        <v>0.06037786512962824</v>
      </c>
      <c r="I1079" s="3" t="n">
        <v>0.09804922344228384</v>
      </c>
      <c r="J1079" t="n">
        <v>69.5</v>
      </c>
      <c r="K1079">
        <f>IF(IFERROR(INDEX(Spots!$K$2:$K$96,MATCH(A1079,Spots!$A$2:$A$96,0)),"")="","",IFERROR(INDEX(Spots!$K$2:$K$96,MATCH(A1079,Spots!$A$2:$A$96,0)),""))</f>
        <v/>
      </c>
      <c r="L1079" s="3">
        <f>IF(OR(K1079="",F1079=""),"",F1079/1000*K1079*100)</f>
        <v/>
      </c>
      <c r="M1079">
        <f>IF(OR(L1079="",L1079=0),"",ROUND(100/L1079,0))</f>
        <v/>
      </c>
      <c r="N1079" t="inlineStr"/>
    </row>
    <row r="1080">
      <c r="A1080" t="n">
        <v>15</v>
      </c>
      <c r="B1080" t="inlineStr">
        <is>
          <t>Swamp Naga Habitat</t>
        </is>
      </c>
      <c r="C1080" t="inlineStr">
        <is>
          <t>Shard of the Tearful Night</t>
        </is>
      </c>
      <c r="D1080" t="n">
        <v>0.3443501</v>
      </c>
      <c r="E1080" t="n">
        <v>5975.7</v>
      </c>
      <c r="F1080" s="3" t="n">
        <v>0.05762506484595947</v>
      </c>
      <c r="G1080" t="n">
        <v>17354</v>
      </c>
      <c r="H1080" s="3" t="n">
        <v>0.04298548813863822</v>
      </c>
      <c r="I1080" s="3" t="n">
        <v>0.0756423734443676</v>
      </c>
      <c r="J1080" t="n">
        <v>51.6</v>
      </c>
      <c r="K1080">
        <f>IF(IFERROR(INDEX(Spots!$K$2:$K$96,MATCH(A1080,Spots!$A$2:$A$96,0)),"")="","",IFERROR(INDEX(Spots!$K$2:$K$96,MATCH(A1080,Spots!$A$2:$A$96,0)),""))</f>
        <v/>
      </c>
      <c r="L1080" s="3">
        <f>IF(OR(K1080="",F1080=""),"",F1080/1000*K1080*100)</f>
        <v/>
      </c>
      <c r="M1080">
        <f>IF(OR(L1080="",L1080=0),"",ROUND(100/L1080,0))</f>
        <v/>
      </c>
      <c r="N1080" t="inlineStr"/>
    </row>
    <row r="1081">
      <c r="A1081" t="n">
        <v>15</v>
      </c>
      <c r="B1081" t="inlineStr">
        <is>
          <t>Swamp Naga Habitat</t>
        </is>
      </c>
      <c r="C1081" t="inlineStr">
        <is>
          <t>Revived Lunar Necklace</t>
        </is>
      </c>
      <c r="D1081" t="n">
        <v>0.14830878</v>
      </c>
      <c r="E1081" t="n">
        <v>5975.7</v>
      </c>
      <c r="F1081" s="3" t="n">
        <v>0.02481864551433305</v>
      </c>
      <c r="G1081" t="n">
        <v>40292</v>
      </c>
      <c r="H1081" s="3" t="n">
        <v>0.01559161262479184</v>
      </c>
      <c r="I1081" s="3" t="n">
        <v>0.0374960442158211</v>
      </c>
      <c r="J1081" t="n">
        <v>22.2</v>
      </c>
      <c r="K1081">
        <f>IF(IFERROR(INDEX(Spots!$K$2:$K$96,MATCH(A1081,Spots!$A$2:$A$96,0)),"")="","",IFERROR(INDEX(Spots!$K$2:$K$96,MATCH(A1081,Spots!$A$2:$A$96,0)),""))</f>
        <v/>
      </c>
      <c r="L1081" s="3">
        <f>IF(OR(K1081="",F1081=""),"",F1081/1000*K1081*100)</f>
        <v/>
      </c>
      <c r="M1081">
        <f>IF(OR(L1081="",L1081=0),"",ROUND(100/L1081,0))</f>
        <v/>
      </c>
      <c r="N1081" t="inlineStr">
        <is>
          <t>low sample</t>
        </is>
      </c>
    </row>
    <row r="1082">
      <c r="A1082" t="n">
        <v>15</v>
      </c>
      <c r="B1082" t="inlineStr">
        <is>
          <t>Swamp Naga Habitat</t>
        </is>
      </c>
      <c r="C1082" t="inlineStr">
        <is>
          <t>Burning Valtarra's Jordun</t>
        </is>
      </c>
      <c r="D1082" t="n">
        <v>0.09757583</v>
      </c>
      <c r="E1082" t="n">
        <v>5975.7</v>
      </c>
      <c r="F1082" s="3" t="n">
        <v>0.01632876985123082</v>
      </c>
      <c r="G1082" t="n">
        <v>61242</v>
      </c>
      <c r="H1082" s="3" t="n">
        <v>0.009055789491124002</v>
      </c>
      <c r="I1082" s="3" t="n">
        <v>0.02709938930465116</v>
      </c>
      <c r="J1082" t="n">
        <v>14.6</v>
      </c>
      <c r="K1082">
        <f>IF(IFERROR(INDEX(Spots!$K$2:$K$96,MATCH(A1082,Spots!$A$2:$A$96,0)),"")="","",IFERROR(INDEX(Spots!$K$2:$K$96,MATCH(A1082,Spots!$A$2:$A$96,0)),""))</f>
        <v/>
      </c>
      <c r="L1082" s="3">
        <f>IF(OR(K1082="",F1082=""),"",F1082/1000*K1082*100)</f>
        <v/>
      </c>
      <c r="M1082">
        <f>IF(OR(L1082="",L1082=0),"",ROUND(100/L1082,0))</f>
        <v/>
      </c>
      <c r="N1082" t="inlineStr">
        <is>
          <t>low sample</t>
        </is>
      </c>
    </row>
    <row r="1083">
      <c r="A1083" t="n">
        <v>15</v>
      </c>
      <c r="B1083" t="inlineStr">
        <is>
          <t>Swamp Naga Habitat</t>
        </is>
      </c>
      <c r="C1083" t="inlineStr">
        <is>
          <t>Revived River Necklace</t>
        </is>
      </c>
      <c r="D1083" t="n">
        <v>0.03023574</v>
      </c>
      <c r="E1083" t="n">
        <v>5975.7</v>
      </c>
      <c r="F1083" s="3" t="n">
        <v>0.005059782117576184</v>
      </c>
      <c r="G1083" t="n">
        <v>197637</v>
      </c>
      <c r="H1083" s="3" t="n">
        <v>0.001512552170072115</v>
      </c>
      <c r="I1083" s="3" t="n">
        <v>0.01228547356915964</v>
      </c>
      <c r="J1083" t="n">
        <v>4.5</v>
      </c>
      <c r="K1083">
        <f>IF(IFERROR(INDEX(Spots!$K$2:$K$96,MATCH(A1083,Spots!$A$2:$A$96,0)),"")="","",IFERROR(INDEX(Spots!$K$2:$K$96,MATCH(A1083,Spots!$A$2:$A$96,0)),""))</f>
        <v/>
      </c>
      <c r="L1083" s="3">
        <f>IF(OR(K1083="",F1083=""),"",F1083/1000*K1083*100)</f>
        <v/>
      </c>
      <c r="M1083">
        <f>IF(OR(L1083="",L1083=0),"",ROUND(100/L1083,0))</f>
        <v/>
      </c>
      <c r="N1083" t="inlineStr">
        <is>
          <t>low sample</t>
        </is>
      </c>
    </row>
    <row r="1084">
      <c r="A1084" t="n">
        <v>201</v>
      </c>
      <c r="B1084" t="inlineStr">
        <is>
          <t>Sycraia Ruins Lower Zone</t>
        </is>
      </c>
      <c r="C1084" t="inlineStr">
        <is>
          <t>Ancient Spirit Dust</t>
        </is>
      </c>
      <c r="D1084" t="n">
        <v>37.296</v>
      </c>
      <c r="E1084" t="n">
        <v>5087.7</v>
      </c>
      <c r="F1084" s="3" t="n">
        <v>7.330620909251724</v>
      </c>
      <c r="G1084" t="n">
        <v>136</v>
      </c>
      <c r="H1084" s="3" t="n">
        <v>7.280693559045673</v>
      </c>
      <c r="I1084" s="3" t="n">
        <v>7.380805628895105</v>
      </c>
      <c r="J1084" t="n">
        <v>82537.89999999999</v>
      </c>
      <c r="K1084">
        <f>IF(IFERROR(INDEX(Spots!$K$2:$K$96,MATCH(A1084,Spots!$A$2:$A$96,0)),"")="","",IFERROR(INDEX(Spots!$K$2:$K$96,MATCH(A1084,Spots!$A$2:$A$96,0)),""))</f>
        <v/>
      </c>
      <c r="L1084" s="3">
        <f>IF(OR(K1084="",F1084=""),"",F1084/1000*K1084*100)</f>
        <v/>
      </c>
      <c r="M1084">
        <f>IF(OR(L1084="",L1084=0),"",ROUND(100/L1084,0))</f>
        <v/>
      </c>
      <c r="N1084" t="inlineStr"/>
    </row>
    <row r="1085">
      <c r="A1085" t="n">
        <v>201</v>
      </c>
      <c r="B1085" t="inlineStr">
        <is>
          <t>Sycraia Ruins Lower Zone</t>
        </is>
      </c>
      <c r="C1085" t="inlineStr">
        <is>
          <t>Black Stone</t>
        </is>
      </c>
      <c r="D1085" t="n">
        <v>21.006</v>
      </c>
      <c r="E1085" t="n">
        <v>5087.7</v>
      </c>
      <c r="F1085" s="3" t="n">
        <v>4.128781178135504</v>
      </c>
      <c r="G1085" t="n">
        <v>242</v>
      </c>
      <c r="H1085" s="3" t="n">
        <v>4.091332595941998</v>
      </c>
      <c r="I1085" s="3" t="n">
        <v>4.166487230317126</v>
      </c>
      <c r="J1085" t="n">
        <v>46487.3</v>
      </c>
      <c r="K1085">
        <f>IF(IFERROR(INDEX(Spots!$K$2:$K$96,MATCH(A1085,Spots!$A$2:$A$96,0)),"")="","",IFERROR(INDEX(Spots!$K$2:$K$96,MATCH(A1085,Spots!$A$2:$A$96,0)),""))</f>
        <v/>
      </c>
      <c r="L1085" s="3">
        <f>IF(OR(K1085="",F1085=""),"",F1085/1000*K1085*100)</f>
        <v/>
      </c>
      <c r="M1085">
        <f>IF(OR(L1085="",L1085=0),"",ROUND(100/L1085,0))</f>
        <v/>
      </c>
      <c r="N1085" t="inlineStr"/>
    </row>
    <row r="1086">
      <c r="A1086" t="n">
        <v>201</v>
      </c>
      <c r="B1086" t="inlineStr">
        <is>
          <t>Sycraia Ruins Lower Zone</t>
        </is>
      </c>
      <c r="C1086" t="inlineStr">
        <is>
          <t>Caphras Stone</t>
        </is>
      </c>
      <c r="D1086" t="n">
        <v>9.077555</v>
      </c>
      <c r="E1086" t="n">
        <v>5087.7</v>
      </c>
      <c r="F1086" s="3" t="n">
        <v>1.784215853922205</v>
      </c>
      <c r="G1086" t="n">
        <v>560</v>
      </c>
      <c r="H1086" s="3" t="n">
        <v>1.759626995065615</v>
      </c>
      <c r="I1086" s="3" t="n">
        <v>1.809062392638361</v>
      </c>
      <c r="J1086" t="n">
        <v>20089.1</v>
      </c>
      <c r="K1086">
        <f>IF(IFERROR(INDEX(Spots!$K$2:$K$96,MATCH(A1086,Spots!$A$2:$A$96,0)),"")="","",IFERROR(INDEX(Spots!$K$2:$K$96,MATCH(A1086,Spots!$A$2:$A$96,0)),""))</f>
        <v/>
      </c>
      <c r="L1086" s="3">
        <f>IF(OR(K1086="",F1086=""),"",F1086/1000*K1086*100)</f>
        <v/>
      </c>
      <c r="M1086">
        <f>IF(OR(L1086="",L1086=0),"",ROUND(100/L1086,0))</f>
        <v/>
      </c>
      <c r="N1086" t="inlineStr"/>
    </row>
    <row r="1087">
      <c r="A1087" t="n">
        <v>201</v>
      </c>
      <c r="B1087" t="inlineStr">
        <is>
          <t>Sycraia Ruins Lower Zone</t>
        </is>
      </c>
      <c r="C1087" t="inlineStr">
        <is>
          <t>Sealed Black Magic Crystal</t>
        </is>
      </c>
      <c r="D1087" t="n">
        <v>8.25891</v>
      </c>
      <c r="E1087" t="n">
        <v>5087.7</v>
      </c>
      <c r="F1087" s="3" t="n">
        <v>1.623309157379563</v>
      </c>
      <c r="G1087" t="n">
        <v>616</v>
      </c>
      <c r="H1087" s="3" t="n">
        <v>1.599859137312497</v>
      </c>
      <c r="I1087" s="3" t="n">
        <v>1.647016886929376</v>
      </c>
      <c r="J1087" t="n">
        <v>18277.4</v>
      </c>
      <c r="K1087">
        <f>IF(IFERROR(INDEX(Spots!$K$2:$K$96,MATCH(A1087,Spots!$A$2:$A$96,0)),"")="","",IFERROR(INDEX(Spots!$K$2:$K$96,MATCH(A1087,Spots!$A$2:$A$96,0)),""))</f>
        <v/>
      </c>
      <c r="L1087" s="3">
        <f>IF(OR(K1087="",F1087=""),"",F1087/1000*K1087*100)</f>
        <v/>
      </c>
      <c r="M1087">
        <f>IF(OR(L1087="",L1087=0),"",ROUND(100/L1087,0))</f>
        <v/>
      </c>
      <c r="N1087" t="inlineStr"/>
    </row>
    <row r="1088">
      <c r="A1088" t="n">
        <v>201</v>
      </c>
      <c r="B1088" t="inlineStr">
        <is>
          <t>Sycraia Ruins Lower Zone</t>
        </is>
      </c>
      <c r="C1088" t="inlineStr">
        <is>
          <t>Sycraia Shard</t>
        </is>
      </c>
      <c r="D1088" t="n">
        <v>2.741532</v>
      </c>
      <c r="E1088" t="n">
        <v>5087.7</v>
      </c>
      <c r="F1088" s="3" t="n">
        <v>0.5388548853116339</v>
      </c>
      <c r="G1088" t="n">
        <v>1856</v>
      </c>
      <c r="H1088" s="3" t="n">
        <v>0.5253799395832175</v>
      </c>
      <c r="I1088" s="3" t="n">
        <v>0.5525880120631644</v>
      </c>
      <c r="J1088" t="n">
        <v>6067.1</v>
      </c>
      <c r="K1088">
        <f>IF(IFERROR(INDEX(Spots!$K$2:$K$96,MATCH(A1088,Spots!$A$2:$A$96,0)),"")="","",IFERROR(INDEX(Spots!$K$2:$K$96,MATCH(A1088,Spots!$A$2:$A$96,0)),""))</f>
        <v/>
      </c>
      <c r="L1088" s="3">
        <f>IF(OR(K1088="",F1088=""),"",F1088/1000*K1088*100)</f>
        <v/>
      </c>
      <c r="M1088">
        <f>IF(OR(L1088="",L1088=0),"",ROUND(100/L1088,0))</f>
        <v/>
      </c>
      <c r="N1088" t="inlineStr"/>
    </row>
    <row r="1089">
      <c r="A1089" t="n">
        <v>201</v>
      </c>
      <c r="B1089" t="inlineStr">
        <is>
          <t>Sycraia Ruins Lower Zone</t>
        </is>
      </c>
      <c r="C1089" t="inlineStr">
        <is>
          <t>Abyssal Essence</t>
        </is>
      </c>
      <c r="D1089" t="n">
        <v>1.533148</v>
      </c>
      <c r="E1089" t="n">
        <v>5087.7</v>
      </c>
      <c r="F1089" s="3" t="n">
        <v>0.301344025787684</v>
      </c>
      <c r="G1089" t="n">
        <v>3318</v>
      </c>
      <c r="H1089" s="3" t="n">
        <v>0.2912885499771007</v>
      </c>
      <c r="I1089" s="3" t="n">
        <v>0.311658056976213</v>
      </c>
      <c r="J1089" t="n">
        <v>3392.9</v>
      </c>
      <c r="K1089">
        <f>IF(IFERROR(INDEX(Spots!$K$2:$K$96,MATCH(A1089,Spots!$A$2:$A$96,0)),"")="","",IFERROR(INDEX(Spots!$K$2:$K$96,MATCH(A1089,Spots!$A$2:$A$96,0)),""))</f>
        <v/>
      </c>
      <c r="L1089" s="3">
        <f>IF(OR(K1089="",F1089=""),"",F1089/1000*K1089*100)</f>
        <v/>
      </c>
      <c r="M1089">
        <f>IF(OR(L1089="",L1089=0),"",ROUND(100/L1089,0))</f>
        <v/>
      </c>
      <c r="N1089" t="inlineStr"/>
    </row>
    <row r="1090">
      <c r="A1090" t="n">
        <v>201</v>
      </c>
      <c r="B1090" t="inlineStr">
        <is>
          <t>Sycraia Ruins Lower Zone</t>
        </is>
      </c>
      <c r="C1090" t="inlineStr">
        <is>
          <t>Faint Sycraia's Memory</t>
        </is>
      </c>
      <c r="D1090" t="n">
        <v>0.49816</v>
      </c>
      <c r="E1090" t="n">
        <v>5087.7</v>
      </c>
      <c r="F1090" s="3" t="n">
        <v>0.09791457829667631</v>
      </c>
      <c r="G1090" t="n">
        <v>10213</v>
      </c>
      <c r="H1090" s="3" t="n">
        <v>0.09221917383331643</v>
      </c>
      <c r="I1090" s="3" t="n">
        <v>0.1038696535095791</v>
      </c>
      <c r="J1090" t="n">
        <v>1102.5</v>
      </c>
      <c r="K1090">
        <f>IF(IFERROR(INDEX(Spots!$K$2:$K$96,MATCH(A1090,Spots!$A$2:$A$96,0)),"")="","",IFERROR(INDEX(Spots!$K$2:$K$96,MATCH(A1090,Spots!$A$2:$A$96,0)),""))</f>
        <v/>
      </c>
      <c r="L1090" s="3">
        <f>IF(OR(K1090="",F1090=""),"",F1090/1000*K1090*100)</f>
        <v/>
      </c>
      <c r="M1090">
        <f>IF(OR(L1090="",L1090=0),"",ROUND(100/L1090,0))</f>
        <v/>
      </c>
      <c r="N1090" t="inlineStr"/>
    </row>
    <row r="1091">
      <c r="A1091" t="n">
        <v>201</v>
      </c>
      <c r="B1091" t="inlineStr">
        <is>
          <t>Sycraia Ruins Lower Zone</t>
        </is>
      </c>
      <c r="C1091" t="inlineStr">
        <is>
          <t>Deboreka Ring</t>
        </is>
      </c>
      <c r="D1091" t="n">
        <v>0.34780594</v>
      </c>
      <c r="E1091" t="n">
        <v>5087.7</v>
      </c>
      <c r="F1091" s="3" t="n">
        <v>0.06836211647699353</v>
      </c>
      <c r="G1091" t="n">
        <v>14628</v>
      </c>
      <c r="H1091" s="3" t="n">
        <v>0.06361717274308937</v>
      </c>
      <c r="I1091" s="3" t="n">
        <v>0.07336723919981754</v>
      </c>
      <c r="J1091" t="n">
        <v>769.7</v>
      </c>
      <c r="K1091">
        <f>IF(IFERROR(INDEX(Spots!$K$2:$K$96,MATCH(A1091,Spots!$A$2:$A$96,0)),"")="","",IFERROR(INDEX(Spots!$K$2:$K$96,MATCH(A1091,Spots!$A$2:$A$96,0)),""))</f>
        <v/>
      </c>
      <c r="L1091" s="3">
        <f>IF(OR(K1091="",F1091=""),"",F1091/1000*K1091*100)</f>
        <v/>
      </c>
      <c r="M1091">
        <f>IF(OR(L1091="",L1091=0),"",ROUND(100/L1091,0))</f>
        <v/>
      </c>
      <c r="N1091" t="inlineStr"/>
    </row>
    <row r="1092">
      <c r="A1092" t="n">
        <v>201</v>
      </c>
      <c r="B1092" t="inlineStr">
        <is>
          <t>Sycraia Ruins Lower Zone</t>
        </is>
      </c>
      <c r="C1092" t="inlineStr">
        <is>
          <t>Gentle Sycraia's Memory</t>
        </is>
      </c>
      <c r="D1092" t="n">
        <v>0.34564002</v>
      </c>
      <c r="E1092" t="n">
        <v>5087.7</v>
      </c>
      <c r="F1092" s="3" t="n">
        <v>0.06793639955186037</v>
      </c>
      <c r="G1092" t="n">
        <v>14720</v>
      </c>
      <c r="H1092" s="3" t="n">
        <v>0.06320651854540206</v>
      </c>
      <c r="I1092" s="3" t="n">
        <v>0.0729264692030006</v>
      </c>
      <c r="J1092" t="n">
        <v>764.9</v>
      </c>
      <c r="K1092">
        <f>IF(IFERROR(INDEX(Spots!$K$2:$K$96,MATCH(A1092,Spots!$A$2:$A$96,0)),"")="","",IFERROR(INDEX(Spots!$K$2:$K$96,MATCH(A1092,Spots!$A$2:$A$96,0)),""))</f>
        <v/>
      </c>
      <c r="L1092" s="3">
        <f>IF(OR(K1092="",F1092=""),"",F1092/1000*K1092*100)</f>
        <v/>
      </c>
      <c r="M1092">
        <f>IF(OR(L1092="",L1092=0),"",ROUND(100/L1092,0))</f>
        <v/>
      </c>
      <c r="N1092" t="inlineStr"/>
    </row>
    <row r="1093">
      <c r="A1093" t="n">
        <v>201</v>
      </c>
      <c r="B1093" t="inlineStr">
        <is>
          <t>Sycraia Ruins Lower Zone</t>
        </is>
      </c>
      <c r="C1093" t="inlineStr">
        <is>
          <t>Traveler's Map</t>
        </is>
      </c>
      <c r="D1093" t="n">
        <v>0.16931879</v>
      </c>
      <c r="E1093" t="n">
        <v>5087.7</v>
      </c>
      <c r="F1093" s="3" t="n">
        <v>0.03328002633803094</v>
      </c>
      <c r="G1093" t="n">
        <v>30048</v>
      </c>
      <c r="H1093" s="3" t="n">
        <v>0.02999514338531577</v>
      </c>
      <c r="I1093" s="3" t="n">
        <v>0.03682642053075398</v>
      </c>
      <c r="J1093" t="n">
        <v>374.7</v>
      </c>
      <c r="K1093">
        <f>IF(IFERROR(INDEX(Spots!$K$2:$K$96,MATCH(A1093,Spots!$A$2:$A$96,0)),"")="","",IFERROR(INDEX(Spots!$K$2:$K$96,MATCH(A1093,Spots!$A$2:$A$96,0)),""))</f>
        <v/>
      </c>
      <c r="L1093" s="3">
        <f>IF(OR(K1093="",F1093=""),"",F1093/1000*K1093*100)</f>
        <v/>
      </c>
      <c r="M1093">
        <f>IF(OR(L1093="",L1093=0),"",ROUND(100/L1093,0))</f>
        <v/>
      </c>
      <c r="N1093" t="inlineStr"/>
    </row>
    <row r="1094">
      <c r="A1094" t="n">
        <v>201</v>
      </c>
      <c r="B1094" t="inlineStr">
        <is>
          <t>Sycraia Ruins Lower Zone</t>
        </is>
      </c>
      <c r="C1094" t="inlineStr">
        <is>
          <t>Intense Sycraia's Memory</t>
        </is>
      </c>
      <c r="D1094" t="n">
        <v>0.06561963</v>
      </c>
      <c r="E1094" t="n">
        <v>5087.7</v>
      </c>
      <c r="F1094" s="3" t="n">
        <v>0.01289770033610472</v>
      </c>
      <c r="G1094" t="n">
        <v>77533</v>
      </c>
      <c r="H1094" s="3" t="n">
        <v>0.01088515501764143</v>
      </c>
      <c r="I1094" s="3" t="n">
        <v>0.01517439832606366</v>
      </c>
      <c r="J1094" t="n">
        <v>145.2</v>
      </c>
      <c r="K1094">
        <f>IF(IFERROR(INDEX(Spots!$K$2:$K$96,MATCH(A1094,Spots!$A$2:$A$96,0)),"")="","",IFERROR(INDEX(Spots!$K$2:$K$96,MATCH(A1094,Spots!$A$2:$A$96,0)),""))</f>
        <v/>
      </c>
      <c r="L1094" s="3">
        <f>IF(OR(K1094="",F1094=""),"",F1094/1000*K1094*100)</f>
        <v/>
      </c>
      <c r="M1094">
        <f>IF(OR(L1094="",L1094=0),"",ROUND(100/L1094,0))</f>
        <v/>
      </c>
      <c r="N1094" t="inlineStr"/>
    </row>
    <row r="1095">
      <c r="A1095" t="n">
        <v>201</v>
      </c>
      <c r="B1095" t="inlineStr">
        <is>
          <t>Sycraia Ruins Lower Zone</t>
        </is>
      </c>
      <c r="C1095" t="inlineStr">
        <is>
          <t>Sycraia Underwater Ruins Paint</t>
        </is>
      </c>
      <c r="D1095" t="n">
        <v>0.06227018</v>
      </c>
      <c r="E1095" t="n">
        <v>5087.7</v>
      </c>
      <c r="F1095" s="3" t="n">
        <v>0.01223935766652908</v>
      </c>
      <c r="G1095" t="n">
        <v>81704</v>
      </c>
      <c r="H1095" s="3" t="n">
        <v>0.01028107906791593</v>
      </c>
      <c r="I1095" s="3" t="n">
        <v>0.0144619730764667</v>
      </c>
      <c r="J1095" t="n">
        <v>137.8</v>
      </c>
      <c r="K1095">
        <f>IF(IFERROR(INDEX(Spots!$K$2:$K$96,MATCH(A1095,Spots!$A$2:$A$96,0)),"")="","",IFERROR(INDEX(Spots!$K$2:$K$96,MATCH(A1095,Spots!$A$2:$A$96,0)),""))</f>
        <v/>
      </c>
      <c r="L1095" s="3">
        <f>IF(OR(K1095="",F1095=""),"",F1095/1000*K1095*100)</f>
        <v/>
      </c>
      <c r="M1095">
        <f>IF(OR(L1095="",L1095=0),"",ROUND(100/L1095,0))</f>
        <v/>
      </c>
      <c r="N1095" t="inlineStr"/>
    </row>
    <row r="1096">
      <c r="A1096" t="n">
        <v>201</v>
      </c>
      <c r="B1096" t="inlineStr">
        <is>
          <t>Sycraia Ruins Lower Zone</t>
        </is>
      </c>
      <c r="C1096" t="inlineStr">
        <is>
          <t>Any Artifact</t>
        </is>
      </c>
      <c r="D1096" t="n">
        <v>0.03670729</v>
      </c>
      <c r="E1096" t="n">
        <v>5087.7</v>
      </c>
      <c r="F1096" s="3" t="n">
        <v>0.007214908504825363</v>
      </c>
      <c r="G1096" t="n">
        <v>138602</v>
      </c>
      <c r="H1096" s="3" t="n">
        <v>0.005731488460116804</v>
      </c>
      <c r="I1096" s="3" t="n">
        <v>0.008964803296658492</v>
      </c>
      <c r="J1096" t="n">
        <v>81.2</v>
      </c>
      <c r="K1096">
        <f>IF(IFERROR(INDEX(Spots!$K$2:$K$96,MATCH(A1096,Spots!$A$2:$A$96,0)),"")="","",IFERROR(INDEX(Spots!$K$2:$K$96,MATCH(A1096,Spots!$A$2:$A$96,0)),""))</f>
        <v/>
      </c>
      <c r="L1096" s="3">
        <f>IF(OR(K1096="",F1096=""),"",F1096/1000*K1096*100)</f>
        <v/>
      </c>
      <c r="M1096">
        <f>IF(OR(L1096="",L1096=0),"",ROUND(100/L1096,0))</f>
        <v/>
      </c>
      <c r="N1096" t="inlineStr"/>
    </row>
    <row r="1097">
      <c r="A1097" t="n">
        <v>201</v>
      </c>
      <c r="B1097" t="inlineStr">
        <is>
          <t>Sycraia Ruins Lower Zone</t>
        </is>
      </c>
      <c r="C1097" t="inlineStr">
        <is>
          <t>Tungrad Ring</t>
        </is>
      </c>
      <c r="D1097" t="n">
        <v>0.0244047</v>
      </c>
      <c r="E1097" t="n">
        <v>5087.7</v>
      </c>
      <c r="F1097" s="3" t="n">
        <v>0.004796804056842975</v>
      </c>
      <c r="G1097" t="n">
        <v>208472</v>
      </c>
      <c r="H1097" s="3" t="n">
        <v>0.003603335123360587</v>
      </c>
      <c r="I1097" s="3" t="n">
        <v>0.006258802966667141</v>
      </c>
      <c r="J1097" t="n">
        <v>54</v>
      </c>
      <c r="K1097">
        <f>IF(IFERROR(INDEX(Spots!$K$2:$K$96,MATCH(A1097,Spots!$A$2:$A$96,0)),"")="","",IFERROR(INDEX(Spots!$K$2:$K$96,MATCH(A1097,Spots!$A$2:$A$96,0)),""))</f>
        <v/>
      </c>
      <c r="L1097" s="3">
        <f>IF(OR(K1097="",F1097=""),"",F1097/1000*K1097*100)</f>
        <v/>
      </c>
      <c r="M1097">
        <f>IF(OR(L1097="",L1097=0),"",ROUND(100/L1097,0))</f>
        <v/>
      </c>
      <c r="N1097" t="inlineStr"/>
    </row>
    <row r="1098">
      <c r="A1098" t="n">
        <v>201</v>
      </c>
      <c r="B1098" t="inlineStr">
        <is>
          <t>Sycraia Ruins Lower Zone</t>
        </is>
      </c>
      <c r="C1098" t="inlineStr">
        <is>
          <t>Radiant Sycraia's Memory</t>
        </is>
      </c>
      <c r="D1098" t="n">
        <v>0.00527912</v>
      </c>
      <c r="E1098" t="n">
        <v>5087.7</v>
      </c>
      <c r="F1098" s="3" t="n">
        <v>0.001037624073746487</v>
      </c>
      <c r="G1098" t="n">
        <v>963740</v>
      </c>
      <c r="H1098" s="3" t="n">
        <v>0.0005299625674669757</v>
      </c>
      <c r="I1098" s="3" t="n">
        <v>0.001825912957192707</v>
      </c>
      <c r="J1098" t="n">
        <v>11.7</v>
      </c>
      <c r="K1098">
        <f>IF(IFERROR(INDEX(Spots!$K$2:$K$96,MATCH(A1098,Spots!$A$2:$A$96,0)),"")="","",IFERROR(INDEX(Spots!$K$2:$K$96,MATCH(A1098,Spots!$A$2:$A$96,0)),""))</f>
        <v/>
      </c>
      <c r="L1098" s="3">
        <f>IF(OR(K1098="",F1098=""),"",F1098/1000*K1098*100)</f>
        <v/>
      </c>
      <c r="M1098">
        <f>IF(OR(L1098="",L1098=0),"",ROUND(100/L1098,0))</f>
        <v/>
      </c>
      <c r="N1098" t="inlineStr">
        <is>
          <t>low sample</t>
        </is>
      </c>
    </row>
    <row r="1099">
      <c r="A1099" t="n">
        <v>201</v>
      </c>
      <c r="B1099" t="inlineStr">
        <is>
          <t>Sycraia Ruins Lower Zone</t>
        </is>
      </c>
      <c r="C1099" t="inlineStr">
        <is>
          <t>Al Yurad's Ring Piece</t>
        </is>
      </c>
      <c r="D1099" t="n">
        <v>0.00076008</v>
      </c>
      <c r="E1099" t="n">
        <v>5087.7</v>
      </c>
      <c r="F1099" s="3" t="n">
        <v>0.0001493956011557285</v>
      </c>
      <c r="G1099" t="n">
        <v>6693638</v>
      </c>
      <c r="H1099" s="3" t="n">
        <v>1.189467700557374e-05</v>
      </c>
      <c r="I1099" s="3" t="n">
        <v>0.0005959156156660293</v>
      </c>
      <c r="J1099" t="n">
        <v>1.7</v>
      </c>
      <c r="K1099">
        <f>IF(IFERROR(INDEX(Spots!$K$2:$K$96,MATCH(A1099,Spots!$A$2:$A$96,0)),"")="","",IFERROR(INDEX(Spots!$K$2:$K$96,MATCH(A1099,Spots!$A$2:$A$96,0)),""))</f>
        <v/>
      </c>
      <c r="L1099" s="3">
        <f>IF(OR(K1099="",F1099=""),"",F1099/1000*K1099*100)</f>
        <v/>
      </c>
      <c r="M1099">
        <f>IF(OR(L1099="",L1099=0),"",ROUND(100/L1099,0))</f>
        <v/>
      </c>
      <c r="N1099" t="inlineStr">
        <is>
          <t>low sample</t>
        </is>
      </c>
    </row>
    <row r="1100">
      <c r="A1100" t="n">
        <v>202</v>
      </c>
      <c r="B1100" t="inlineStr">
        <is>
          <t>Sycraia Ruins Upper Zone</t>
        </is>
      </c>
      <c r="C1100" t="inlineStr">
        <is>
          <t>Ancient Spirit Dust</t>
        </is>
      </c>
      <c r="D1100" t="n">
        <v>26.285</v>
      </c>
      <c r="E1100" t="n">
        <v>9989.4</v>
      </c>
      <c r="F1100" s="3" t="n">
        <v>2.631289166516508</v>
      </c>
      <c r="G1100" t="n">
        <v>380</v>
      </c>
      <c r="H1100" s="3" t="n">
        <v>2.596085524452303</v>
      </c>
      <c r="I1100" s="3" t="n">
        <v>2.666850855738614</v>
      </c>
      <c r="J1100" t="n">
        <v>21320.2</v>
      </c>
      <c r="K1100">
        <f>IF(IFERROR(INDEX(Spots!$K$2:$K$96,MATCH(A1100,Spots!$A$2:$A$96,0)),"")="","",IFERROR(INDEX(Spots!$K$2:$K$96,MATCH(A1100,Spots!$A$2:$A$96,0)),""))</f>
        <v/>
      </c>
      <c r="L1100" s="3">
        <f>IF(OR(K1100="",F1100=""),"",F1100/1000*K1100*100)</f>
        <v/>
      </c>
      <c r="M1100">
        <f>IF(OR(L1100="",L1100=0),"",ROUND(100/L1100,0))</f>
        <v/>
      </c>
      <c r="N1100" t="inlineStr"/>
    </row>
    <row r="1101">
      <c r="A1101" t="n">
        <v>202</v>
      </c>
      <c r="B1101" t="inlineStr">
        <is>
          <t>Sycraia Ruins Upper Zone</t>
        </is>
      </c>
      <c r="C1101" t="inlineStr">
        <is>
          <t>Black Stone</t>
        </is>
      </c>
      <c r="D1101" t="n">
        <v>14.428</v>
      </c>
      <c r="E1101" t="n">
        <v>9989.4</v>
      </c>
      <c r="F1101" s="3" t="n">
        <v>1.444330990850301</v>
      </c>
      <c r="G1101" t="n">
        <v>692</v>
      </c>
      <c r="H1101" s="3" t="n">
        <v>1.418279615326782</v>
      </c>
      <c r="I1101" s="3" t="n">
        <v>1.470740702225879</v>
      </c>
      <c r="J1101" t="n">
        <v>11702.8</v>
      </c>
      <c r="K1101">
        <f>IF(IFERROR(INDEX(Spots!$K$2:$K$96,MATCH(A1101,Spots!$A$2:$A$96,0)),"")="","",IFERROR(INDEX(Spots!$K$2:$K$96,MATCH(A1101,Spots!$A$2:$A$96,0)),""))</f>
        <v/>
      </c>
      <c r="L1101" s="3">
        <f>IF(OR(K1101="",F1101=""),"",F1101/1000*K1101*100)</f>
        <v/>
      </c>
      <c r="M1101">
        <f>IF(OR(L1101="",L1101=0),"",ROUND(100/L1101,0))</f>
        <v/>
      </c>
      <c r="N1101" t="inlineStr"/>
    </row>
    <row r="1102">
      <c r="A1102" t="n">
        <v>202</v>
      </c>
      <c r="B1102" t="inlineStr">
        <is>
          <t>Sycraia Ruins Upper Zone</t>
        </is>
      </c>
      <c r="C1102" t="inlineStr">
        <is>
          <t>Caphras Stone</t>
        </is>
      </c>
      <c r="D1102" t="n">
        <v>12.129</v>
      </c>
      <c r="E1102" t="n">
        <v>9989.4</v>
      </c>
      <c r="F1102" s="3" t="n">
        <v>1.214187038260556</v>
      </c>
      <c r="G1102" t="n">
        <v>824</v>
      </c>
      <c r="H1102" s="3" t="n">
        <v>1.19031097017286</v>
      </c>
      <c r="I1102" s="3" t="n">
        <v>1.238421543139888</v>
      </c>
      <c r="J1102" t="n">
        <v>9838</v>
      </c>
      <c r="K1102">
        <f>IF(IFERROR(INDEX(Spots!$K$2:$K$96,MATCH(A1102,Spots!$A$2:$A$96,0)),"")="","",IFERROR(INDEX(Spots!$K$2:$K$96,MATCH(A1102,Spots!$A$2:$A$96,0)),""))</f>
        <v/>
      </c>
      <c r="L1102" s="3">
        <f>IF(OR(K1102="",F1102=""),"",F1102/1000*K1102*100)</f>
        <v/>
      </c>
      <c r="M1102">
        <f>IF(OR(L1102="",L1102=0),"",ROUND(100/L1102,0))</f>
        <v/>
      </c>
      <c r="N1102" t="inlineStr"/>
    </row>
    <row r="1103">
      <c r="A1103" t="n">
        <v>202</v>
      </c>
      <c r="B1103" t="inlineStr">
        <is>
          <t>Sycraia Ruins Upper Zone</t>
        </is>
      </c>
      <c r="C1103" t="inlineStr">
        <is>
          <t>Abyssal Essence</t>
        </is>
      </c>
      <c r="D1103" t="n">
        <v>5.473831</v>
      </c>
      <c r="E1103" t="n">
        <v>9989.4</v>
      </c>
      <c r="F1103" s="3" t="n">
        <v>0.547963941778285</v>
      </c>
      <c r="G1103" t="n">
        <v>1825</v>
      </c>
      <c r="H1103" s="3" t="n">
        <v>0.5319627759668353</v>
      </c>
      <c r="I1103" s="3" t="n">
        <v>0.5643241368790863</v>
      </c>
      <c r="J1103" t="n">
        <v>4439.9</v>
      </c>
      <c r="K1103">
        <f>IF(IFERROR(INDEX(Spots!$K$2:$K$96,MATCH(A1103,Spots!$A$2:$A$96,0)),"")="","",IFERROR(INDEX(Spots!$K$2:$K$96,MATCH(A1103,Spots!$A$2:$A$96,0)),""))</f>
        <v/>
      </c>
      <c r="L1103" s="3">
        <f>IF(OR(K1103="",F1103=""),"",F1103/1000*K1103*100)</f>
        <v/>
      </c>
      <c r="M1103">
        <f>IF(OR(L1103="",L1103=0),"",ROUND(100/L1103,0))</f>
        <v/>
      </c>
      <c r="N1103" t="inlineStr"/>
    </row>
    <row r="1104">
      <c r="A1104" t="n">
        <v>202</v>
      </c>
      <c r="B1104" t="inlineStr">
        <is>
          <t>Sycraia Ruins Upper Zone</t>
        </is>
      </c>
      <c r="C1104" t="inlineStr">
        <is>
          <t>Fragment of the Deep Sea</t>
        </is>
      </c>
      <c r="D1104" t="n">
        <v>4.069654</v>
      </c>
      <c r="E1104" t="n">
        <v>9989.4</v>
      </c>
      <c r="F1104" s="3" t="n">
        <v>0.40739724107554</v>
      </c>
      <c r="G1104" t="n">
        <v>2455</v>
      </c>
      <c r="H1104" s="3" t="n">
        <v>0.3936164287725868</v>
      </c>
      <c r="I1104" s="3" t="n">
        <v>0.421537370595602</v>
      </c>
      <c r="J1104" t="n">
        <v>3301</v>
      </c>
      <c r="K1104">
        <f>IF(IFERROR(INDEX(Spots!$K$2:$K$96,MATCH(A1104,Spots!$A$2:$A$96,0)),"")="","",IFERROR(INDEX(Spots!$K$2:$K$96,MATCH(A1104,Spots!$A$2:$A$96,0)),""))</f>
        <v/>
      </c>
      <c r="L1104" s="3">
        <f>IF(OR(K1104="",F1104=""),"",F1104/1000*K1104*100)</f>
        <v/>
      </c>
      <c r="M1104">
        <f>IF(OR(L1104="",L1104=0),"",ROUND(100/L1104,0))</f>
        <v/>
      </c>
      <c r="N1104" t="inlineStr"/>
    </row>
    <row r="1105">
      <c r="A1105" t="n">
        <v>202</v>
      </c>
      <c r="B1105" t="inlineStr">
        <is>
          <t>Sycraia Ruins Upper Zone</t>
        </is>
      </c>
      <c r="C1105" t="inlineStr">
        <is>
          <t>Sealed Black Magic Crystal</t>
        </is>
      </c>
      <c r="D1105" t="n">
        <v>2.231822</v>
      </c>
      <c r="E1105" t="n">
        <v>9989.4</v>
      </c>
      <c r="F1105" s="3" t="n">
        <v>0.2234190241656156</v>
      </c>
      <c r="G1105" t="n">
        <v>4476</v>
      </c>
      <c r="H1105" s="3" t="n">
        <v>0.2132442540438527</v>
      </c>
      <c r="I1105" s="3" t="n">
        <v>0.2339538424243156</v>
      </c>
      <c r="J1105" t="n">
        <v>1810.3</v>
      </c>
      <c r="K1105">
        <f>IF(IFERROR(INDEX(Spots!$K$2:$K$96,MATCH(A1105,Spots!$A$2:$A$96,0)),"")="","",IFERROR(INDEX(Spots!$K$2:$K$96,MATCH(A1105,Spots!$A$2:$A$96,0)),""))</f>
        <v/>
      </c>
      <c r="L1105" s="3">
        <f>IF(OR(K1105="",F1105=""),"",F1105/1000*K1105*100)</f>
        <v/>
      </c>
      <c r="M1105">
        <f>IF(OR(L1105="",L1105=0),"",ROUND(100/L1105,0))</f>
        <v/>
      </c>
      <c r="N1105" t="inlineStr"/>
    </row>
    <row r="1106">
      <c r="A1106" t="n">
        <v>202</v>
      </c>
      <c r="B1106" t="inlineStr">
        <is>
          <t>Sycraia Ruins Upper Zone</t>
        </is>
      </c>
      <c r="C1106" t="inlineStr">
        <is>
          <t>Traveler's Map</t>
        </is>
      </c>
      <c r="D1106" t="n">
        <v>0.3909354</v>
      </c>
      <c r="E1106" t="n">
        <v>9989.4</v>
      </c>
      <c r="F1106" s="3" t="n">
        <v>0.03913502312451198</v>
      </c>
      <c r="G1106" t="n">
        <v>25553</v>
      </c>
      <c r="H1106" s="3" t="n">
        <v>0.03494544677232631</v>
      </c>
      <c r="I1106" s="3" t="n">
        <v>0.04368852626073143</v>
      </c>
      <c r="J1106" t="n">
        <v>317.1</v>
      </c>
      <c r="K1106">
        <f>IF(IFERROR(INDEX(Spots!$K$2:$K$96,MATCH(A1106,Spots!$A$2:$A$96,0)),"")="","",IFERROR(INDEX(Spots!$K$2:$K$96,MATCH(A1106,Spots!$A$2:$A$96,0)),""))</f>
        <v/>
      </c>
      <c r="L1106" s="3">
        <f>IF(OR(K1106="",F1106=""),"",F1106/1000*K1106*100)</f>
        <v/>
      </c>
      <c r="M1106">
        <f>IF(OR(L1106="",L1106=0),"",ROUND(100/L1106,0))</f>
        <v/>
      </c>
      <c r="N1106" t="inlineStr"/>
    </row>
    <row r="1107">
      <c r="A1107" t="n">
        <v>202</v>
      </c>
      <c r="B1107" t="inlineStr">
        <is>
          <t>Sycraia Ruins Upper Zone</t>
        </is>
      </c>
      <c r="C1107" t="inlineStr">
        <is>
          <t>Deboreka Ring</t>
        </is>
      </c>
      <c r="D1107" t="n">
        <v>0.12731006</v>
      </c>
      <c r="E1107" t="n">
        <v>9989.4</v>
      </c>
      <c r="F1107" s="3" t="n">
        <v>0.01274451518609726</v>
      </c>
      <c r="G1107" t="n">
        <v>78465</v>
      </c>
      <c r="H1107" s="3" t="n">
        <v>0.01040505209199395</v>
      </c>
      <c r="I1107" s="3" t="n">
        <v>0.01545283064356803</v>
      </c>
      <c r="J1107" t="n">
        <v>103.3</v>
      </c>
      <c r="K1107">
        <f>IF(IFERROR(INDEX(Spots!$K$2:$K$96,MATCH(A1107,Spots!$A$2:$A$96,0)),"")="","",IFERROR(INDEX(Spots!$K$2:$K$96,MATCH(A1107,Spots!$A$2:$A$96,0)),""))</f>
        <v/>
      </c>
      <c r="L1107" s="3">
        <f>IF(OR(K1107="",F1107=""),"",F1107/1000*K1107*100)</f>
        <v/>
      </c>
      <c r="M1107">
        <f>IF(OR(L1107="",L1107=0),"",ROUND(100/L1107,0))</f>
        <v/>
      </c>
      <c r="N1107" t="inlineStr"/>
    </row>
    <row r="1108">
      <c r="A1108" t="n">
        <v>202</v>
      </c>
      <c r="B1108" t="inlineStr">
        <is>
          <t>Sycraia Ruins Upper Zone</t>
        </is>
      </c>
      <c r="C1108" t="inlineStr">
        <is>
          <t>Sycrid's Scale Piece</t>
        </is>
      </c>
      <c r="D1108" t="n">
        <v>0.10833305</v>
      </c>
      <c r="E1108" t="n">
        <v>9989.4</v>
      </c>
      <c r="F1108" s="3" t="n">
        <v>0.01084480048851783</v>
      </c>
      <c r="G1108" t="n">
        <v>92210</v>
      </c>
      <c r="H1108" s="3" t="n">
        <v>0.008696070339810501</v>
      </c>
      <c r="I1108" s="3" t="n">
        <v>0.01336333445649743</v>
      </c>
      <c r="J1108" t="n">
        <v>87.90000000000001</v>
      </c>
      <c r="K1108">
        <f>IF(IFERROR(INDEX(Spots!$K$2:$K$96,MATCH(A1108,Spots!$A$2:$A$96,0)),"")="","",IFERROR(INDEX(Spots!$K$2:$K$96,MATCH(A1108,Spots!$A$2:$A$96,0)),""))</f>
        <v/>
      </c>
      <c r="L1108" s="3">
        <f>IF(OR(K1108="",F1108=""),"",F1108/1000*K1108*100)</f>
        <v/>
      </c>
      <c r="M1108">
        <f>IF(OR(L1108="",L1108=0),"",ROUND(100/L1108,0))</f>
        <v/>
      </c>
      <c r="N1108" t="inlineStr"/>
    </row>
    <row r="1109">
      <c r="A1109" t="n">
        <v>202</v>
      </c>
      <c r="B1109" t="inlineStr">
        <is>
          <t>Sycraia Ruins Upper Zone</t>
        </is>
      </c>
      <c r="C1109" t="inlineStr">
        <is>
          <t>Sycraia Underwater Ruins Paint</t>
        </is>
      </c>
      <c r="D1109" t="n">
        <v>0.08676314</v>
      </c>
      <c r="E1109" t="n">
        <v>9989.4</v>
      </c>
      <c r="F1109" s="3" t="n">
        <v>0.008685520651891005</v>
      </c>
      <c r="G1109" t="n">
        <v>115134</v>
      </c>
      <c r="H1109" s="3" t="n">
        <v>0.006775254215475912</v>
      </c>
      <c r="I1109" s="3" t="n">
        <v>0.0109670233926397</v>
      </c>
      <c r="J1109" t="n">
        <v>70.40000000000001</v>
      </c>
      <c r="K1109">
        <f>IF(IFERROR(INDEX(Spots!$K$2:$K$96,MATCH(A1109,Spots!$A$2:$A$96,0)),"")="","",IFERROR(INDEX(Spots!$K$2:$K$96,MATCH(A1109,Spots!$A$2:$A$96,0)),""))</f>
        <v/>
      </c>
      <c r="L1109" s="3">
        <f>IF(OR(K1109="",F1109=""),"",F1109/1000*K1109*100)</f>
        <v/>
      </c>
      <c r="M1109">
        <f>IF(OR(L1109="",L1109=0),"",ROUND(100/L1109,0))</f>
        <v/>
      </c>
      <c r="N1109" t="inlineStr"/>
    </row>
    <row r="1110">
      <c r="A1110" t="n">
        <v>202</v>
      </c>
      <c r="B1110" t="inlineStr">
        <is>
          <t>Sycraia Ruins Upper Zone</t>
        </is>
      </c>
      <c r="C1110" t="inlineStr">
        <is>
          <t>Tungrad Ring</t>
        </is>
      </c>
      <c r="D1110" t="n">
        <v>0.08173363</v>
      </c>
      <c r="E1110" t="n">
        <v>9989.4</v>
      </c>
      <c r="F1110" s="3" t="n">
        <v>0.008182035958115601</v>
      </c>
      <c r="G1110" t="n">
        <v>122219</v>
      </c>
      <c r="H1110" s="3" t="n">
        <v>0.006331522594261725</v>
      </c>
      <c r="I1110" s="3" t="n">
        <v>0.01040419695218643</v>
      </c>
      <c r="J1110" t="n">
        <v>66.3</v>
      </c>
      <c r="K1110">
        <f>IF(IFERROR(INDEX(Spots!$K$2:$K$96,MATCH(A1110,Spots!$A$2:$A$96,0)),"")="","",IFERROR(INDEX(Spots!$K$2:$K$96,MATCH(A1110,Spots!$A$2:$A$96,0)),""))</f>
        <v/>
      </c>
      <c r="L1110" s="3">
        <f>IF(OR(K1110="",F1110=""),"",F1110/1000*K1110*100)</f>
        <v/>
      </c>
      <c r="M1110">
        <f>IF(OR(L1110="",L1110=0),"",ROUND(100/L1110,0))</f>
        <v/>
      </c>
      <c r="N1110" t="inlineStr"/>
    </row>
    <row r="1111">
      <c r="A1111" t="n">
        <v>202</v>
      </c>
      <c r="B1111" t="inlineStr">
        <is>
          <t>Sycraia Ruins Upper Zone</t>
        </is>
      </c>
      <c r="C1111" t="inlineStr">
        <is>
          <t>Marni's Research Box</t>
        </is>
      </c>
      <c r="D1111" t="n">
        <v>0.00515694</v>
      </c>
      <c r="E1111" t="n">
        <v>9989.4</v>
      </c>
      <c r="F1111" s="3" t="n">
        <v>0.0005162412156886299</v>
      </c>
      <c r="G1111" t="n">
        <v>1937079</v>
      </c>
      <c r="H1111" s="3" t="n">
        <v>0.0001444002293039867</v>
      </c>
      <c r="I1111" s="3" t="n">
        <v>0.001296511520143216</v>
      </c>
      <c r="J1111" t="n">
        <v>4.2</v>
      </c>
      <c r="K1111">
        <f>IF(IFERROR(INDEX(Spots!$K$2:$K$96,MATCH(A1111,Spots!$A$2:$A$96,0)),"")="","",IFERROR(INDEX(Spots!$K$2:$K$96,MATCH(A1111,Spots!$A$2:$A$96,0)),""))</f>
        <v/>
      </c>
      <c r="L1111" s="3">
        <f>IF(OR(K1111="",F1111=""),"",F1111/1000*K1111*100)</f>
        <v/>
      </c>
      <c r="M1111">
        <f>IF(OR(L1111="",L1111=0),"",ROUND(100/L1111,0))</f>
        <v/>
      </c>
      <c r="N1111" t="inlineStr">
        <is>
          <t>low sample</t>
        </is>
      </c>
    </row>
    <row r="1112">
      <c r="A1112" t="n">
        <v>202</v>
      </c>
      <c r="B1112" t="inlineStr">
        <is>
          <t>Sycraia Ruins Upper Zone</t>
        </is>
      </c>
      <c r="C1112" t="inlineStr">
        <is>
          <t>Forgotten Limbo Box</t>
        </is>
      </c>
      <c r="D1112" t="n">
        <v>0.00491859</v>
      </c>
      <c r="E1112" t="n">
        <v>9989.4</v>
      </c>
      <c r="F1112" s="3" t="n">
        <v>0.000492380923779206</v>
      </c>
      <c r="G1112" t="n">
        <v>2030948</v>
      </c>
      <c r="H1112" s="3" t="n">
        <v>0.0001321575541763853</v>
      </c>
      <c r="I1112" s="3" t="n">
        <v>0.001262036786976633</v>
      </c>
      <c r="J1112" t="n">
        <v>4</v>
      </c>
      <c r="K1112">
        <f>IF(IFERROR(INDEX(Spots!$K$2:$K$96,MATCH(A1112,Spots!$A$2:$A$96,0)),"")="","",IFERROR(INDEX(Spots!$K$2:$K$96,MATCH(A1112,Spots!$A$2:$A$96,0)),""))</f>
        <v/>
      </c>
      <c r="L1112" s="3">
        <f>IF(OR(K1112="",F1112=""),"",F1112/1000*K1112*100)</f>
        <v/>
      </c>
      <c r="M1112">
        <f>IF(OR(L1112="",L1112=0),"",ROUND(100/L1112,0))</f>
        <v/>
      </c>
      <c r="N1112" t="inlineStr">
        <is>
          <t>low sample</t>
        </is>
      </c>
    </row>
    <row r="1113">
      <c r="A1113" t="n">
        <v>202</v>
      </c>
      <c r="B1113" t="inlineStr">
        <is>
          <t>Sycraia Ruins Upper Zone</t>
        </is>
      </c>
      <c r="C1113" t="inlineStr">
        <is>
          <t>Al Yurad's Ring Piece</t>
        </is>
      </c>
      <c r="D1113" t="n">
        <v>0.00187741</v>
      </c>
      <c r="E1113" t="n">
        <v>9989.4</v>
      </c>
      <c r="F1113" s="3" t="n">
        <v>0.0001879402166296274</v>
      </c>
      <c r="G1113" t="n">
        <v>5320841</v>
      </c>
      <c r="H1113" s="3" t="n">
        <v>1.181285403332861e-05</v>
      </c>
      <c r="I1113" s="3" t="n">
        <v>0.0007958696172672073</v>
      </c>
      <c r="J1113" t="n">
        <v>1.5</v>
      </c>
      <c r="K1113">
        <f>IF(IFERROR(INDEX(Spots!$K$2:$K$96,MATCH(A1113,Spots!$A$2:$A$96,0)),"")="","",IFERROR(INDEX(Spots!$K$2:$K$96,MATCH(A1113,Spots!$A$2:$A$96,0)),""))</f>
        <v/>
      </c>
      <c r="L1113" s="3">
        <f>IF(OR(K1113="",F1113=""),"",F1113/1000*K1113*100)</f>
        <v/>
      </c>
      <c r="M1113">
        <f>IF(OR(L1113="",L1113=0),"",ROUND(100/L1113,0))</f>
        <v/>
      </c>
      <c r="N1113" t="inlineStr">
        <is>
          <t>low sample</t>
        </is>
      </c>
    </row>
    <row r="1114">
      <c r="A1114" t="n">
        <v>202</v>
      </c>
      <c r="B1114" t="inlineStr">
        <is>
          <t>Sycraia Ruins Upper Zone</t>
        </is>
      </c>
      <c r="C1114" t="inlineStr">
        <is>
          <t>Any Artifact</t>
        </is>
      </c>
      <c r="D1114" t="n">
        <v>0.00080344</v>
      </c>
      <c r="E1114" t="n">
        <v>9989.4</v>
      </c>
      <c r="F1114" s="3" t="n">
        <v>8.042925501031093e-05</v>
      </c>
      <c r="G1114" t="n">
        <v>12433287</v>
      </c>
      <c r="H1114" s="3" t="n">
        <v>6.618092499451178e-10</v>
      </c>
      <c r="I1114" s="3" t="n">
        <v>0.0006100650791973771</v>
      </c>
      <c r="J1114" t="n">
        <v>0.7</v>
      </c>
      <c r="K1114">
        <f>IF(IFERROR(INDEX(Spots!$K$2:$K$96,MATCH(A1114,Spots!$A$2:$A$96,0)),"")="","",IFERROR(INDEX(Spots!$K$2:$K$96,MATCH(A1114,Spots!$A$2:$A$96,0)),""))</f>
        <v/>
      </c>
      <c r="L1114" s="3">
        <f>IF(OR(K1114="",F1114=""),"",F1114/1000*K1114*100)</f>
        <v/>
      </c>
      <c r="M1114">
        <f>IF(OR(L1114="",L1114=0),"",ROUND(100/L1114,0))</f>
        <v/>
      </c>
      <c r="N1114" t="inlineStr">
        <is>
          <t>low sample</t>
        </is>
      </c>
    </row>
    <row r="1115">
      <c r="A1115" t="n">
        <v>193</v>
      </c>
      <c r="B1115" t="inlineStr">
        <is>
          <t>Tenebraum Castle</t>
        </is>
      </c>
      <c r="C1115" t="inlineStr">
        <is>
          <t>Ancient Spirit Dust</t>
        </is>
      </c>
      <c r="D1115" t="n">
        <v>20.328</v>
      </c>
      <c r="E1115" t="n">
        <v>6300.1</v>
      </c>
      <c r="F1115" s="3" t="n">
        <v>3.226615450548404</v>
      </c>
      <c r="G1115" t="n">
        <v>310</v>
      </c>
      <c r="H1115" s="3" t="n">
        <v>3.2214891029163</v>
      </c>
      <c r="I1115" s="3" t="n">
        <v>3.231747941102635</v>
      </c>
      <c r="J1115" t="n">
        <v>1520722.4</v>
      </c>
      <c r="K1115">
        <f>IF(IFERROR(INDEX(Spots!$K$2:$K$96,MATCH(A1115,Spots!$A$2:$A$96,0)),"")="","",IFERROR(INDEX(Spots!$K$2:$K$96,MATCH(A1115,Spots!$A$2:$A$96,0)),""))</f>
        <v/>
      </c>
      <c r="L1115" s="3">
        <f>IF(OR(K1115="",F1115=""),"",F1115/1000*K1115*100)</f>
        <v/>
      </c>
      <c r="M1115">
        <f>IF(OR(L1115="",L1115=0),"",ROUND(100/L1115,0))</f>
        <v/>
      </c>
      <c r="N1115" t="inlineStr"/>
    </row>
    <row r="1116">
      <c r="A1116" t="n">
        <v>193</v>
      </c>
      <c r="B1116" t="inlineStr">
        <is>
          <t>Tenebraum Castle</t>
        </is>
      </c>
      <c r="C1116" t="inlineStr">
        <is>
          <t>Black Stone</t>
        </is>
      </c>
      <c r="D1116" t="n">
        <v>17.34</v>
      </c>
      <c r="E1116" t="n">
        <v>6300.1</v>
      </c>
      <c r="F1116" s="3" t="n">
        <v>2.752337264487865</v>
      </c>
      <c r="G1116" t="n">
        <v>363</v>
      </c>
      <c r="H1116" s="3" t="n">
        <v>2.747602796513565</v>
      </c>
      <c r="I1116" s="3" t="n">
        <v>2.757077875523751</v>
      </c>
      <c r="J1116" t="n">
        <v>1297192.4</v>
      </c>
      <c r="K1116">
        <f>IF(IFERROR(INDEX(Spots!$K$2:$K$96,MATCH(A1116,Spots!$A$2:$A$96,0)),"")="","",IFERROR(INDEX(Spots!$K$2:$K$96,MATCH(A1116,Spots!$A$2:$A$96,0)),""))</f>
        <v/>
      </c>
      <c r="L1116" s="3">
        <f>IF(OR(K1116="",F1116=""),"",F1116/1000*K1116*100)</f>
        <v/>
      </c>
      <c r="M1116">
        <f>IF(OR(L1116="",L1116=0),"",ROUND(100/L1116,0))</f>
        <v/>
      </c>
      <c r="N1116" t="inlineStr"/>
    </row>
    <row r="1117">
      <c r="A1117" t="n">
        <v>193</v>
      </c>
      <c r="B1117" t="inlineStr">
        <is>
          <t>Tenebraum Castle</t>
        </is>
      </c>
      <c r="C1117" t="inlineStr">
        <is>
          <t>Caphras Stone</t>
        </is>
      </c>
      <c r="D1117" t="n">
        <v>10.842</v>
      </c>
      <c r="E1117" t="n">
        <v>6300.1</v>
      </c>
      <c r="F1117" s="3" t="n">
        <v>1.720925064681513</v>
      </c>
      <c r="G1117" t="n">
        <v>581</v>
      </c>
      <c r="H1117" s="3" t="n">
        <v>1.717181782815695</v>
      </c>
      <c r="I1117" s="3" t="n">
        <v>1.724674490091869</v>
      </c>
      <c r="J1117" t="n">
        <v>811081.9</v>
      </c>
      <c r="K1117">
        <f>IF(IFERROR(INDEX(Spots!$K$2:$K$96,MATCH(A1117,Spots!$A$2:$A$96,0)),"")="","",IFERROR(INDEX(Spots!$K$2:$K$96,MATCH(A1117,Spots!$A$2:$A$96,0)),""))</f>
        <v/>
      </c>
      <c r="L1117" s="3">
        <f>IF(OR(K1117="",F1117=""),"",F1117/1000*K1117*100)</f>
        <v/>
      </c>
      <c r="M1117">
        <f>IF(OR(L1117="",L1117=0),"",ROUND(100/L1117,0))</f>
        <v/>
      </c>
      <c r="N1117" t="inlineStr"/>
    </row>
    <row r="1118">
      <c r="A1118" t="n">
        <v>193</v>
      </c>
      <c r="B1118" t="inlineStr">
        <is>
          <t>Tenebraum Castle</t>
        </is>
      </c>
      <c r="C1118" t="inlineStr">
        <is>
          <t>HAN Crystal of Ruin</t>
        </is>
      </c>
      <c r="D1118" t="n">
        <v>2.597021</v>
      </c>
      <c r="E1118" t="n">
        <v>6300.1</v>
      </c>
      <c r="F1118" s="3" t="n">
        <v>0.4122190123966286</v>
      </c>
      <c r="G1118" t="n">
        <v>2426</v>
      </c>
      <c r="H1118" s="3" t="n">
        <v>0.4103879965325033</v>
      </c>
      <c r="I1118" s="3" t="n">
        <v>0.4140561742121725</v>
      </c>
      <c r="J1118" t="n">
        <v>194281.2</v>
      </c>
      <c r="K1118">
        <f>IF(IFERROR(INDEX(Spots!$K$2:$K$96,MATCH(A1118,Spots!$A$2:$A$96,0)),"")="","",IFERROR(INDEX(Spots!$K$2:$K$96,MATCH(A1118,Spots!$A$2:$A$96,0)),""))</f>
        <v/>
      </c>
      <c r="L1118" s="3">
        <f>IF(OR(K1118="",F1118=""),"",F1118/1000*K1118*100)</f>
        <v/>
      </c>
      <c r="M1118">
        <f>IF(OR(L1118="",L1118=0),"",ROUND(100/L1118,0))</f>
        <v/>
      </c>
      <c r="N1118" t="inlineStr"/>
    </row>
    <row r="1119">
      <c r="A1119" t="n">
        <v>193</v>
      </c>
      <c r="B1119" t="inlineStr">
        <is>
          <t>Tenebraum Castle</t>
        </is>
      </c>
      <c r="C1119" t="inlineStr">
        <is>
          <t>Crystallized Energy of Endtimes</t>
        </is>
      </c>
      <c r="D1119" t="n">
        <v>1.692623</v>
      </c>
      <c r="E1119" t="n">
        <v>6300.1</v>
      </c>
      <c r="F1119" s="3" t="n">
        <v>0.2686660529197949</v>
      </c>
      <c r="G1119" t="n">
        <v>3722</v>
      </c>
      <c r="H1119" s="3" t="n">
        <v>0.2671882360766382</v>
      </c>
      <c r="I1119" s="3" t="n">
        <v>0.2701500168390806</v>
      </c>
      <c r="J1119" t="n">
        <v>126623.9</v>
      </c>
      <c r="K1119">
        <f>IF(IFERROR(INDEX(Spots!$K$2:$K$96,MATCH(A1119,Spots!$A$2:$A$96,0)),"")="","",IFERROR(INDEX(Spots!$K$2:$K$96,MATCH(A1119,Spots!$A$2:$A$96,0)),""))</f>
        <v/>
      </c>
      <c r="L1119" s="3">
        <f>IF(OR(K1119="",F1119=""),"",F1119/1000*K1119*100)</f>
        <v/>
      </c>
      <c r="M1119">
        <f>IF(OR(L1119="",L1119=0),"",ROUND(100/L1119,0))</f>
        <v/>
      </c>
      <c r="N1119" t="inlineStr"/>
    </row>
    <row r="1120">
      <c r="A1120" t="n">
        <v>193</v>
      </c>
      <c r="B1120" t="inlineStr">
        <is>
          <t>Tenebraum Castle</t>
        </is>
      </c>
      <c r="C1120" t="inlineStr">
        <is>
          <t>Herald's Crystal</t>
        </is>
      </c>
      <c r="D1120" t="n">
        <v>1.621323</v>
      </c>
      <c r="E1120" t="n">
        <v>6300.1</v>
      </c>
      <c r="F1120" s="3" t="n">
        <v>0.2573487722417104</v>
      </c>
      <c r="G1120" t="n">
        <v>3886</v>
      </c>
      <c r="H1120" s="3" t="n">
        <v>0.2559024588552582</v>
      </c>
      <c r="I1120" s="3" t="n">
        <v>0.2588012328312396</v>
      </c>
      <c r="J1120" t="n">
        <v>121290</v>
      </c>
      <c r="K1120">
        <f>IF(IFERROR(INDEX(Spots!$K$2:$K$96,MATCH(A1120,Spots!$A$2:$A$96,0)),"")="","",IFERROR(INDEX(Spots!$K$2:$K$96,MATCH(A1120,Spots!$A$2:$A$96,0)),""))</f>
        <v/>
      </c>
      <c r="L1120" s="3">
        <f>IF(OR(K1120="",F1120=""),"",F1120/1000*K1120*100)</f>
        <v/>
      </c>
      <c r="M1120">
        <f>IF(OR(L1120="",L1120=0),"",ROUND(100/L1120,0))</f>
        <v/>
      </c>
      <c r="N1120" t="inlineStr"/>
    </row>
    <row r="1121">
      <c r="A1121" t="n">
        <v>193</v>
      </c>
      <c r="B1121" t="inlineStr">
        <is>
          <t>Tenebraum Castle</t>
        </is>
      </c>
      <c r="C1121" t="inlineStr">
        <is>
          <t>Distorted Fragment of Origin</t>
        </is>
      </c>
      <c r="D1121" t="n">
        <v>0.60793085</v>
      </c>
      <c r="E1121" t="n">
        <v>6300.1</v>
      </c>
      <c r="F1121" s="3" t="n">
        <v>0.09649542864398977</v>
      </c>
      <c r="G1121" t="n">
        <v>10363</v>
      </c>
      <c r="H1121" s="3" t="n">
        <v>0.09561057380345199</v>
      </c>
      <c r="I1121" s="3" t="n">
        <v>0.09738643446124941</v>
      </c>
      <c r="J1121" t="n">
        <v>45478.9</v>
      </c>
      <c r="K1121">
        <f>IF(IFERROR(INDEX(Spots!$K$2:$K$96,MATCH(A1121,Spots!$A$2:$A$96,0)),"")="","",IFERROR(INDEX(Spots!$K$2:$K$96,MATCH(A1121,Spots!$A$2:$A$96,0)),""))</f>
        <v/>
      </c>
      <c r="L1121" s="3">
        <f>IF(OR(K1121="",F1121=""),"",F1121/1000*K1121*100)</f>
        <v/>
      </c>
      <c r="M1121">
        <f>IF(OR(L1121="",L1121=0),"",ROUND(100/L1121,0))</f>
        <v/>
      </c>
      <c r="N1121" t="inlineStr"/>
    </row>
    <row r="1122">
      <c r="A1122" t="n">
        <v>193</v>
      </c>
      <c r="B1122" t="inlineStr">
        <is>
          <t>Tenebraum Castle</t>
        </is>
      </c>
      <c r="C1122" t="inlineStr">
        <is>
          <t>Deboreka Earring</t>
        </is>
      </c>
      <c r="D1122" t="n">
        <v>0.12067347</v>
      </c>
      <c r="E1122" t="n">
        <v>6300.1</v>
      </c>
      <c r="F1122" s="3" t="n">
        <v>0.01915421501246012</v>
      </c>
      <c r="G1122" t="n">
        <v>52208</v>
      </c>
      <c r="H1122" s="3" t="n">
        <v>0.0187611010662738</v>
      </c>
      <c r="I1122" s="3" t="n">
        <v>0.01955349202968832</v>
      </c>
      <c r="J1122" t="n">
        <v>9027.5</v>
      </c>
      <c r="K1122">
        <f>IF(IFERROR(INDEX(Spots!$K$2:$K$96,MATCH(A1122,Spots!$A$2:$A$96,0)),"")="","",IFERROR(INDEX(Spots!$K$2:$K$96,MATCH(A1122,Spots!$A$2:$A$96,0)),""))</f>
        <v/>
      </c>
      <c r="L1122" s="3">
        <f>IF(OR(K1122="",F1122=""),"",F1122/1000*K1122*100)</f>
        <v/>
      </c>
      <c r="M1122">
        <f>IF(OR(L1122="",L1122=0),"",ROUND(100/L1122,0))</f>
        <v/>
      </c>
      <c r="N1122" t="inlineStr"/>
    </row>
    <row r="1123">
      <c r="A1123" t="n">
        <v>193</v>
      </c>
      <c r="B1123" t="inlineStr">
        <is>
          <t>Tenebraum Castle</t>
        </is>
      </c>
      <c r="C1123" t="inlineStr">
        <is>
          <t>Deboreka Ring</t>
        </is>
      </c>
      <c r="D1123" t="n">
        <v>0.11603851</v>
      </c>
      <c r="E1123" t="n">
        <v>6300.1</v>
      </c>
      <c r="F1123" s="3" t="n">
        <v>0.01841851875367058</v>
      </c>
      <c r="G1123" t="n">
        <v>54293</v>
      </c>
      <c r="H1123" s="3" t="n">
        <v>0.01803306741416232</v>
      </c>
      <c r="I1123" s="3" t="n">
        <v>0.01881013359501307</v>
      </c>
      <c r="J1123" t="n">
        <v>8680.799999999999</v>
      </c>
      <c r="K1123">
        <f>IF(IFERROR(INDEX(Spots!$K$2:$K$96,MATCH(A1123,Spots!$A$2:$A$96,0)),"")="","",IFERROR(INDEX(Spots!$K$2:$K$96,MATCH(A1123,Spots!$A$2:$A$96,0)),""))</f>
        <v/>
      </c>
      <c r="L1123" s="3">
        <f>IF(OR(K1123="",F1123=""),"",F1123/1000*K1123*100)</f>
        <v/>
      </c>
      <c r="M1123">
        <f>IF(OR(L1123="",L1123=0),"",ROUND(100/L1123,0))</f>
        <v/>
      </c>
      <c r="N1123" t="inlineStr"/>
    </row>
    <row r="1124">
      <c r="A1124" t="n">
        <v>193</v>
      </c>
      <c r="B1124" t="inlineStr">
        <is>
          <t>Tenebraum Castle</t>
        </is>
      </c>
      <c r="C1124" t="inlineStr">
        <is>
          <t>Silent Fragment of Origin</t>
        </is>
      </c>
      <c r="D1124" t="n">
        <v>0.08763236000000001</v>
      </c>
      <c r="E1124" t="n">
        <v>6300.1</v>
      </c>
      <c r="F1124" s="3" t="n">
        <v>0.0139096776241647</v>
      </c>
      <c r="G1124" t="n">
        <v>71892</v>
      </c>
      <c r="H1124" s="3" t="n">
        <v>0.01357497583612754</v>
      </c>
      <c r="I1124" s="3" t="n">
        <v>0.01425054626076884</v>
      </c>
      <c r="J1124" t="n">
        <v>6555.7</v>
      </c>
      <c r="K1124">
        <f>IF(IFERROR(INDEX(Spots!$K$2:$K$96,MATCH(A1124,Spots!$A$2:$A$96,0)),"")="","",IFERROR(INDEX(Spots!$K$2:$K$96,MATCH(A1124,Spots!$A$2:$A$96,0)),""))</f>
        <v/>
      </c>
      <c r="L1124" s="3">
        <f>IF(OR(K1124="",F1124=""),"",F1124/1000*K1124*100)</f>
        <v/>
      </c>
      <c r="M1124">
        <f>IF(OR(L1124="",L1124=0),"",ROUND(100/L1124,0))</f>
        <v/>
      </c>
      <c r="N1124" t="inlineStr"/>
    </row>
    <row r="1125">
      <c r="A1125" t="n">
        <v>193</v>
      </c>
      <c r="B1125" t="inlineStr">
        <is>
          <t>Tenebraum Castle</t>
        </is>
      </c>
      <c r="C1125" t="inlineStr">
        <is>
          <t>Deboreka Belt</t>
        </is>
      </c>
      <c r="D1125" t="n">
        <v>0.03839586</v>
      </c>
      <c r="E1125" t="n">
        <v>6300.1</v>
      </c>
      <c r="F1125" s="3" t="n">
        <v>0.006094484214536277</v>
      </c>
      <c r="G1125" t="n">
        <v>164083</v>
      </c>
      <c r="H1125" s="3" t="n">
        <v>0.005873619008371907</v>
      </c>
      <c r="I1125" s="3" t="n">
        <v>0.00632152929668712</v>
      </c>
      <c r="J1125" t="n">
        <v>2872.4</v>
      </c>
      <c r="K1125">
        <f>IF(IFERROR(INDEX(Spots!$K$2:$K$96,MATCH(A1125,Spots!$A$2:$A$96,0)),"")="","",IFERROR(INDEX(Spots!$K$2:$K$96,MATCH(A1125,Spots!$A$2:$A$96,0)),""))</f>
        <v/>
      </c>
      <c r="L1125" s="3">
        <f>IF(OR(K1125="",F1125=""),"",F1125/1000*K1125*100)</f>
        <v/>
      </c>
      <c r="M1125">
        <f>IF(OR(L1125="",L1125=0),"",ROUND(100/L1125,0))</f>
        <v/>
      </c>
      <c r="N1125" t="inlineStr"/>
    </row>
    <row r="1126">
      <c r="A1126" t="n">
        <v>193</v>
      </c>
      <c r="B1126" t="inlineStr">
        <is>
          <t>Tenebraum Castle</t>
        </is>
      </c>
      <c r="C1126" t="inlineStr">
        <is>
          <t>Deboreka Necklace</t>
        </is>
      </c>
      <c r="D1126" t="n">
        <v>0.03768865</v>
      </c>
      <c r="E1126" t="n">
        <v>6300.1</v>
      </c>
      <c r="F1126" s="3" t="n">
        <v>0.005982230440786654</v>
      </c>
      <c r="G1126" t="n">
        <v>167162</v>
      </c>
      <c r="H1126" s="3" t="n">
        <v>0.005763427444344314</v>
      </c>
      <c r="I1126" s="3" t="n">
        <v>0.006207213672550458</v>
      </c>
      <c r="J1126" t="n">
        <v>2819.5</v>
      </c>
      <c r="K1126">
        <f>IF(IFERROR(INDEX(Spots!$K$2:$K$96,MATCH(A1126,Spots!$A$2:$A$96,0)),"")="","",IFERROR(INDEX(Spots!$K$2:$K$96,MATCH(A1126,Spots!$A$2:$A$96,0)),""))</f>
        <v/>
      </c>
      <c r="L1126" s="3">
        <f>IF(OR(K1126="",F1126=""),"",F1126/1000*K1126*100)</f>
        <v/>
      </c>
      <c r="M1126">
        <f>IF(OR(L1126="",L1126=0),"",ROUND(100/L1126,0))</f>
        <v/>
      </c>
      <c r="N1126" t="inlineStr"/>
    </row>
    <row r="1127">
      <c r="A1127" t="n">
        <v>193</v>
      </c>
      <c r="B1127" t="inlineStr">
        <is>
          <t>Tenebraum Castle</t>
        </is>
      </c>
      <c r="C1127" t="inlineStr">
        <is>
          <t>HAN Crystal of Dusky Ruin</t>
        </is>
      </c>
      <c r="D1127" t="n">
        <v>0.02654578</v>
      </c>
      <c r="E1127" t="n">
        <v>6300.1</v>
      </c>
      <c r="F1127" s="3" t="n">
        <v>0.004213548991285852</v>
      </c>
      <c r="G1127" t="n">
        <v>237330</v>
      </c>
      <c r="H1127" s="3" t="n">
        <v>0.004030243329466034</v>
      </c>
      <c r="I1127" s="3" t="n">
        <v>0.004403042320881126</v>
      </c>
      <c r="J1127" t="n">
        <v>1985.9</v>
      </c>
      <c r="K1127">
        <f>IF(IFERROR(INDEX(Spots!$K$2:$K$96,MATCH(A1127,Spots!$A$2:$A$96,0)),"")="","",IFERROR(INDEX(Spots!$K$2:$K$96,MATCH(A1127,Spots!$A$2:$A$96,0)),""))</f>
        <v/>
      </c>
      <c r="L1127" s="3">
        <f>IF(OR(K1127="",F1127=""),"",F1127/1000*K1127*100)</f>
        <v/>
      </c>
      <c r="M1127">
        <f>IF(OR(L1127="",L1127=0),"",ROUND(100/L1127,0))</f>
        <v/>
      </c>
      <c r="N1127" t="inlineStr"/>
    </row>
    <row r="1128">
      <c r="A1128" t="n">
        <v>193</v>
      </c>
      <c r="B1128" t="inlineStr">
        <is>
          <t>Tenebraum Castle</t>
        </is>
      </c>
      <c r="C1128" t="inlineStr">
        <is>
          <t>Flawless Herald's Crystal</t>
        </is>
      </c>
      <c r="D1128" t="n">
        <v>0.00412357</v>
      </c>
      <c r="E1128" t="n">
        <v>6300.1</v>
      </c>
      <c r="F1128" s="3" t="n">
        <v>0.0006545245313566451</v>
      </c>
      <c r="G1128" t="n">
        <v>1527827</v>
      </c>
      <c r="H1128" s="3" t="n">
        <v>0.0005835113014487575</v>
      </c>
      <c r="I1128" s="3" t="n">
        <v>0.0007317958751707743</v>
      </c>
      <c r="J1128" t="n">
        <v>308.5</v>
      </c>
      <c r="K1128">
        <f>IF(IFERROR(INDEX(Spots!$K$2:$K$96,MATCH(A1128,Spots!$A$2:$A$96,0)),"")="","",IFERROR(INDEX(Spots!$K$2:$K$96,MATCH(A1128,Spots!$A$2:$A$96,0)),""))</f>
        <v/>
      </c>
      <c r="L1128" s="3">
        <f>IF(OR(K1128="",F1128=""),"",F1128/1000*K1128*100)</f>
        <v/>
      </c>
      <c r="M1128">
        <f>IF(OR(L1128="",L1128=0),"",ROUND(100/L1128,0))</f>
        <v/>
      </c>
      <c r="N1128" t="inlineStr"/>
    </row>
    <row r="1129">
      <c r="A1129" t="n">
        <v>193</v>
      </c>
      <c r="B1129" t="inlineStr">
        <is>
          <t>Tenebraum Castle</t>
        </is>
      </c>
      <c r="C1129" t="inlineStr">
        <is>
          <t>Distorted Crystal of Origin</t>
        </is>
      </c>
      <c r="D1129" t="n">
        <v>0.00179507</v>
      </c>
      <c r="E1129" t="n">
        <v>6300.1</v>
      </c>
      <c r="F1129" s="3" t="n">
        <v>0.0002849272233774067</v>
      </c>
      <c r="G1129" t="n">
        <v>3509668</v>
      </c>
      <c r="H1129" s="3" t="n">
        <v>0.0002387723149475206</v>
      </c>
      <c r="I1129" s="3" t="n">
        <v>0.0003373992614429209</v>
      </c>
      <c r="J1129" t="n">
        <v>134.3</v>
      </c>
      <c r="K1129">
        <f>IF(IFERROR(INDEX(Spots!$K$2:$K$96,MATCH(A1129,Spots!$A$2:$A$96,0)),"")="","",IFERROR(INDEX(Spots!$K$2:$K$96,MATCH(A1129,Spots!$A$2:$A$96,0)),""))</f>
        <v/>
      </c>
      <c r="L1129" s="3">
        <f>IF(OR(K1129="",F1129=""),"",F1129/1000*K1129*100)</f>
        <v/>
      </c>
      <c r="M1129">
        <f>IF(OR(L1129="",L1129=0),"",ROUND(100/L1129,0))</f>
        <v/>
      </c>
      <c r="N1129" t="inlineStr"/>
    </row>
    <row r="1130">
      <c r="A1130" t="n">
        <v>193</v>
      </c>
      <c r="B1130" t="inlineStr">
        <is>
          <t>Tenebraum Castle</t>
        </is>
      </c>
      <c r="C1130" t="inlineStr">
        <is>
          <t>Silent Crystal of Origin</t>
        </is>
      </c>
      <c r="D1130" t="n">
        <v>0.00102482</v>
      </c>
      <c r="E1130" t="n">
        <v>6300.1</v>
      </c>
      <c r="F1130" s="3" t="n">
        <v>0.0001626672592498532</v>
      </c>
      <c r="G1130" t="n">
        <v>6147519</v>
      </c>
      <c r="H1130" s="3" t="n">
        <v>0.000128299114922491</v>
      </c>
      <c r="I1130" s="3" t="n">
        <v>0.000203407802550757</v>
      </c>
      <c r="J1130" t="n">
        <v>76.7</v>
      </c>
      <c r="K1130">
        <f>IF(IFERROR(INDEX(Spots!$K$2:$K$96,MATCH(A1130,Spots!$A$2:$A$96,0)),"")="","",IFERROR(INDEX(Spots!$K$2:$K$96,MATCH(A1130,Spots!$A$2:$A$96,0)),""))</f>
        <v/>
      </c>
      <c r="L1130" s="3">
        <f>IF(OR(K1130="",F1130=""),"",F1130/1000*K1130*100)</f>
        <v/>
      </c>
      <c r="M1130">
        <f>IF(OR(L1130="",L1130=0),"",ROUND(100/L1130,0))</f>
        <v/>
      </c>
      <c r="N1130" t="inlineStr"/>
    </row>
    <row r="1131">
      <c r="A1131" t="n">
        <v>7</v>
      </c>
      <c r="B1131" t="inlineStr">
        <is>
          <t>Thornwood Forest</t>
        </is>
      </c>
      <c r="C1131" t="inlineStr">
        <is>
          <t>Obsidian Amethyst Fragment</t>
        </is>
      </c>
      <c r="D1131" t="n">
        <v>103.86</v>
      </c>
      <c r="E1131" t="n">
        <v>6422.3</v>
      </c>
      <c r="F1131" s="3" t="n">
        <v>16.17177646637498</v>
      </c>
      <c r="G1131" t="n">
        <v>62</v>
      </c>
      <c r="H1131" s="3" t="n">
        <v>15.92695547449718</v>
      </c>
      <c r="I1131" s="3" t="n">
        <v>16.41941835553586</v>
      </c>
      <c r="J1131" t="n">
        <v>16636.6</v>
      </c>
      <c r="K1131">
        <f>IF(IFERROR(INDEX(Spots!$K$2:$K$96,MATCH(A1131,Spots!$A$2:$A$96,0)),"")="","",IFERROR(INDEX(Spots!$K$2:$K$96,MATCH(A1131,Spots!$A$2:$A$96,0)),""))</f>
        <v/>
      </c>
      <c r="L1131" s="3">
        <f>IF(OR(K1131="",F1131=""),"",F1131/1000*K1131*100)</f>
        <v/>
      </c>
      <c r="M1131">
        <f>IF(OR(L1131="",L1131=0),"",ROUND(100/L1131,0))</f>
        <v/>
      </c>
      <c r="N1131" t="inlineStr"/>
    </row>
    <row r="1132">
      <c r="A1132" t="n">
        <v>7</v>
      </c>
      <c r="B1132" t="inlineStr">
        <is>
          <t>Thornwood Forest</t>
        </is>
      </c>
      <c r="C1132" t="inlineStr">
        <is>
          <t>Black Stone</t>
        </is>
      </c>
      <c r="D1132" t="n">
        <v>31.408</v>
      </c>
      <c r="E1132" t="n">
        <v>6422.3</v>
      </c>
      <c r="F1132" s="3" t="n">
        <v>4.890459804120019</v>
      </c>
      <c r="G1132" t="n">
        <v>204</v>
      </c>
      <c r="H1132" s="3" t="n">
        <v>4.756244828033779</v>
      </c>
      <c r="I1132" s="3" t="n">
        <v>5.027501693564242</v>
      </c>
      <c r="J1132" t="n">
        <v>5031</v>
      </c>
      <c r="K1132">
        <f>IF(IFERROR(INDEX(Spots!$K$2:$K$96,MATCH(A1132,Spots!$A$2:$A$96,0)),"")="","",IFERROR(INDEX(Spots!$K$2:$K$96,MATCH(A1132,Spots!$A$2:$A$96,0)),""))</f>
        <v/>
      </c>
      <c r="L1132" s="3">
        <f>IF(OR(K1132="",F1132=""),"",F1132/1000*K1132*100)</f>
        <v/>
      </c>
      <c r="M1132">
        <f>IF(OR(L1132="",L1132=0),"",ROUND(100/L1132,0))</f>
        <v/>
      </c>
      <c r="N1132" t="inlineStr"/>
    </row>
    <row r="1133">
      <c r="A1133" t="n">
        <v>7</v>
      </c>
      <c r="B1133" t="inlineStr">
        <is>
          <t>Thornwood Forest</t>
        </is>
      </c>
      <c r="C1133" t="inlineStr">
        <is>
          <t>Ancient Spirit Dust</t>
        </is>
      </c>
      <c r="D1133" t="n">
        <v>16.71</v>
      </c>
      <c r="E1133" t="n">
        <v>6422.3</v>
      </c>
      <c r="F1133" s="3" t="n">
        <v>2.601871603631098</v>
      </c>
      <c r="G1133" t="n">
        <v>384</v>
      </c>
      <c r="H1133" s="3" t="n">
        <v>2.504225176945597</v>
      </c>
      <c r="I1133" s="3" t="n">
        <v>2.702349889644813</v>
      </c>
      <c r="J1133" t="n">
        <v>2676.7</v>
      </c>
      <c r="K1133">
        <f>IF(IFERROR(INDEX(Spots!$K$2:$K$96,MATCH(A1133,Spots!$A$2:$A$96,0)),"")="","",IFERROR(INDEX(Spots!$K$2:$K$96,MATCH(A1133,Spots!$A$2:$A$96,0)),""))</f>
        <v/>
      </c>
      <c r="L1133" s="3">
        <f>IF(OR(K1133="",F1133=""),"",F1133/1000*K1133*100)</f>
        <v/>
      </c>
      <c r="M1133">
        <f>IF(OR(L1133="",L1133=0),"",ROUND(100/L1133,0))</f>
        <v/>
      </c>
      <c r="N1133" t="inlineStr"/>
    </row>
    <row r="1134">
      <c r="A1134" t="n">
        <v>7</v>
      </c>
      <c r="B1134" t="inlineStr">
        <is>
          <t>Thornwood Forest</t>
        </is>
      </c>
      <c r="C1134" t="inlineStr">
        <is>
          <t>Caphras Stone</t>
        </is>
      </c>
      <c r="D1134" t="n">
        <v>14.453</v>
      </c>
      <c r="E1134" t="n">
        <v>6422.3</v>
      </c>
      <c r="F1134" s="3" t="n">
        <v>2.250439873565545</v>
      </c>
      <c r="G1134" t="n">
        <v>444</v>
      </c>
      <c r="H1134" s="3" t="n">
        <v>2.159691914664515</v>
      </c>
      <c r="I1134" s="3" t="n">
        <v>2.344021065135283</v>
      </c>
      <c r="J1134" t="n">
        <v>2315.1</v>
      </c>
      <c r="K1134">
        <f>IF(IFERROR(INDEX(Spots!$K$2:$K$96,MATCH(A1134,Spots!$A$2:$A$96,0)),"")="","",IFERROR(INDEX(Spots!$K$2:$K$96,MATCH(A1134,Spots!$A$2:$A$96,0)),""))</f>
        <v/>
      </c>
      <c r="L1134" s="3">
        <f>IF(OR(K1134="",F1134=""),"",F1134/1000*K1134*100)</f>
        <v/>
      </c>
      <c r="M1134">
        <f>IF(OR(L1134="",L1134=0),"",ROUND(100/L1134,0))</f>
        <v/>
      </c>
      <c r="N1134" t="inlineStr"/>
    </row>
    <row r="1135">
      <c r="A1135" t="n">
        <v>7</v>
      </c>
      <c r="B1135" t="inlineStr">
        <is>
          <t>Thornwood Forest</t>
        </is>
      </c>
      <c r="C1135" t="inlineStr">
        <is>
          <t>Talon of Darkness</t>
        </is>
      </c>
      <c r="D1135" t="n">
        <v>5.818586</v>
      </c>
      <c r="E1135" t="n">
        <v>6422.3</v>
      </c>
      <c r="F1135" s="3" t="n">
        <v>0.9059972284072684</v>
      </c>
      <c r="G1135" t="n">
        <v>1104</v>
      </c>
      <c r="H1135" s="3" t="n">
        <v>0.8487573287400145</v>
      </c>
      <c r="I1135" s="3" t="n">
        <v>0.9660816303522589</v>
      </c>
      <c r="J1135" t="n">
        <v>932</v>
      </c>
      <c r="K1135">
        <f>IF(IFERROR(INDEX(Spots!$K$2:$K$96,MATCH(A1135,Spots!$A$2:$A$96,0)),"")="","",IFERROR(INDEX(Spots!$K$2:$K$96,MATCH(A1135,Spots!$A$2:$A$96,0)),""))</f>
        <v/>
      </c>
      <c r="L1135" s="3">
        <f>IF(OR(K1135="",F1135=""),"",F1135/1000*K1135*100)</f>
        <v/>
      </c>
      <c r="M1135">
        <f>IF(OR(L1135="",L1135=0),"",ROUND(100/L1135,0))</f>
        <v/>
      </c>
      <c r="N1135" t="inlineStr"/>
    </row>
    <row r="1136">
      <c r="A1136" t="n">
        <v>7</v>
      </c>
      <c r="B1136" t="inlineStr">
        <is>
          <t>Thornwood Forest</t>
        </is>
      </c>
      <c r="C1136" t="inlineStr">
        <is>
          <t>Mass of Pure Magic</t>
        </is>
      </c>
      <c r="D1136" t="n">
        <v>2.76063</v>
      </c>
      <c r="E1136" t="n">
        <v>6422.3</v>
      </c>
      <c r="F1136" s="3" t="n">
        <v>0.4298506765488999</v>
      </c>
      <c r="G1136" t="n">
        <v>2326</v>
      </c>
      <c r="H1136" s="3" t="n">
        <v>0.3907138084250896</v>
      </c>
      <c r="I1136" s="3" t="n">
        <v>0.4718458898850287</v>
      </c>
      <c r="J1136" t="n">
        <v>442.2</v>
      </c>
      <c r="K1136">
        <f>IF(IFERROR(INDEX(Spots!$K$2:$K$96,MATCH(A1136,Spots!$A$2:$A$96,0)),"")="","",IFERROR(INDEX(Spots!$K$2:$K$96,MATCH(A1136,Spots!$A$2:$A$96,0)),""))</f>
        <v/>
      </c>
      <c r="L1136" s="3">
        <f>IF(OR(K1136="",F1136=""),"",F1136/1000*K1136*100)</f>
        <v/>
      </c>
      <c r="M1136">
        <f>IF(OR(L1136="",L1136=0),"",ROUND(100/L1136,0))</f>
        <v/>
      </c>
      <c r="N1136" t="inlineStr"/>
    </row>
    <row r="1137">
      <c r="A1137" t="n">
        <v>7</v>
      </c>
      <c r="B1137" t="inlineStr">
        <is>
          <t>Thornwood Forest</t>
        </is>
      </c>
      <c r="C1137" t="inlineStr">
        <is>
          <t>Venomous Night Fang</t>
        </is>
      </c>
      <c r="D1137" t="n">
        <v>2.577552</v>
      </c>
      <c r="E1137" t="n">
        <v>6422.3</v>
      </c>
      <c r="F1137" s="3" t="n">
        <v>0.4013440667673575</v>
      </c>
      <c r="G1137" t="n">
        <v>2492</v>
      </c>
      <c r="H1137" s="3" t="n">
        <v>0.3635587141972855</v>
      </c>
      <c r="I1137" s="3" t="n">
        <v>0.4419893110844215</v>
      </c>
      <c r="J1137" t="n">
        <v>412.9</v>
      </c>
      <c r="K1137">
        <f>IF(IFERROR(INDEX(Spots!$K$2:$K$96,MATCH(A1137,Spots!$A$2:$A$96,0)),"")="","",IFERROR(INDEX(Spots!$K$2:$K$96,MATCH(A1137,Spots!$A$2:$A$96,0)),""))</f>
        <v/>
      </c>
      <c r="L1137" s="3">
        <f>IF(OR(K1137="",F1137=""),"",F1137/1000*K1137*100)</f>
        <v/>
      </c>
      <c r="M1137">
        <f>IF(OR(L1137="",L1137=0),"",ROUND(100/L1137,0))</f>
        <v/>
      </c>
      <c r="N1137" t="inlineStr"/>
    </row>
    <row r="1138">
      <c r="A1138" t="n">
        <v>7</v>
      </c>
      <c r="B1138" t="inlineStr">
        <is>
          <t>Thornwood Forest</t>
        </is>
      </c>
      <c r="C1138" t="inlineStr">
        <is>
          <t>Imperfect Lightstone of Fire</t>
        </is>
      </c>
      <c r="D1138" t="n">
        <v>0.38391611</v>
      </c>
      <c r="E1138" t="n">
        <v>6422.3</v>
      </c>
      <c r="F1138" s="3" t="n">
        <v>0.05977860112420783</v>
      </c>
      <c r="G1138" t="n">
        <v>16728</v>
      </c>
      <c r="H1138" s="3" t="n">
        <v>0.04577620432119556</v>
      </c>
      <c r="I1138" s="3" t="n">
        <v>0.07671236202616416</v>
      </c>
      <c r="J1138" t="n">
        <v>61.5</v>
      </c>
      <c r="K1138">
        <f>IF(IFERROR(INDEX(Spots!$K$2:$K$96,MATCH(A1138,Spots!$A$2:$A$96,0)),"")="","",IFERROR(INDEX(Spots!$K$2:$K$96,MATCH(A1138,Spots!$A$2:$A$96,0)),""))</f>
        <v/>
      </c>
      <c r="L1138" s="3">
        <f>IF(OR(K1138="",F1138=""),"",F1138/1000*K1138*100)</f>
        <v/>
      </c>
      <c r="M1138">
        <f>IF(OR(L1138="",L1138=0),"",ROUND(100/L1138,0))</f>
        <v/>
      </c>
      <c r="N1138" t="inlineStr"/>
    </row>
    <row r="1139">
      <c r="A1139" t="n">
        <v>7</v>
      </c>
      <c r="B1139" t="inlineStr">
        <is>
          <t>Thornwood Forest</t>
        </is>
      </c>
      <c r="C1139" t="inlineStr">
        <is>
          <t>Quturan's Black Leaf</t>
        </is>
      </c>
      <c r="D1139" t="n">
        <v>0.31577753</v>
      </c>
      <c r="E1139" t="n">
        <v>6422.3</v>
      </c>
      <c r="F1139" s="3" t="n">
        <v>0.049168916120393</v>
      </c>
      <c r="G1139" t="n">
        <v>20338</v>
      </c>
      <c r="H1139" s="3" t="n">
        <v>0.03655872194309235</v>
      </c>
      <c r="I1139" s="3" t="n">
        <v>0.06472212132456219</v>
      </c>
      <c r="J1139" t="n">
        <v>50.6</v>
      </c>
      <c r="K1139">
        <f>IF(IFERROR(INDEX(Spots!$K$2:$K$96,MATCH(A1139,Spots!$A$2:$A$96,0)),"")="","",IFERROR(INDEX(Spots!$K$2:$K$96,MATCH(A1139,Spots!$A$2:$A$96,0)),""))</f>
        <v/>
      </c>
      <c r="L1139" s="3">
        <f>IF(OR(K1139="",F1139=""),"",F1139/1000*K1139*100)</f>
        <v/>
      </c>
      <c r="M1139">
        <f>IF(OR(L1139="",L1139=0),"",ROUND(100/L1139,0))</f>
        <v/>
      </c>
      <c r="N1139" t="inlineStr"/>
    </row>
    <row r="1140">
      <c r="A1140" t="n">
        <v>7</v>
      </c>
      <c r="B1140" t="inlineStr">
        <is>
          <t>Thornwood Forest</t>
        </is>
      </c>
      <c r="C1140" t="inlineStr">
        <is>
          <t>Ah'krad</t>
        </is>
      </c>
      <c r="D1140" t="n">
        <v>0.26022808</v>
      </c>
      <c r="E1140" t="n">
        <v>6422.3</v>
      </c>
      <c r="F1140" s="3" t="n">
        <v>0.04051945253258177</v>
      </c>
      <c r="G1140" t="n">
        <v>24680</v>
      </c>
      <c r="H1140" s="3" t="n">
        <v>0.02916041807563235</v>
      </c>
      <c r="I1140" s="3" t="n">
        <v>0.05483410669483541</v>
      </c>
      <c r="J1140" t="n">
        <v>41.7</v>
      </c>
      <c r="K1140">
        <f>IF(IFERROR(INDEX(Spots!$K$2:$K$96,MATCH(A1140,Spots!$A$2:$A$96,0)),"")="","",IFERROR(INDEX(Spots!$K$2:$K$96,MATCH(A1140,Spots!$A$2:$A$96,0)),""))</f>
        <v/>
      </c>
      <c r="L1140" s="3">
        <f>IF(OR(K1140="",F1140=""),"",F1140/1000*K1140*100)</f>
        <v/>
      </c>
      <c r="M1140">
        <f>IF(OR(L1140="",L1140=0),"",ROUND(100/L1140,0))</f>
        <v/>
      </c>
      <c r="N1140" t="inlineStr"/>
    </row>
    <row r="1141">
      <c r="A1141" t="n">
        <v>7</v>
      </c>
      <c r="B1141" t="inlineStr">
        <is>
          <t>Thornwood Forest</t>
        </is>
      </c>
      <c r="C1141" t="inlineStr">
        <is>
          <t>Specter's Energy</t>
        </is>
      </c>
      <c r="D1141" t="n">
        <v>0.18556321</v>
      </c>
      <c r="E1141" t="n">
        <v>6422.3</v>
      </c>
      <c r="F1141" s="3" t="n">
        <v>0.02889357551033119</v>
      </c>
      <c r="G1141" t="n">
        <v>34610</v>
      </c>
      <c r="H1141" s="3" t="n">
        <v>0.01945135408127068</v>
      </c>
      <c r="I1141" s="3" t="n">
        <v>0.04131628096881715</v>
      </c>
      <c r="J1141" t="n">
        <v>29.7</v>
      </c>
      <c r="K1141">
        <f>IF(IFERROR(INDEX(Spots!$K$2:$K$96,MATCH(A1141,Spots!$A$2:$A$96,0)),"")="","",IFERROR(INDEX(Spots!$K$2:$K$96,MATCH(A1141,Spots!$A$2:$A$96,0)),""))</f>
        <v/>
      </c>
      <c r="L1141" s="3">
        <f>IF(OR(K1141="",F1141=""),"",F1141/1000*K1141*100)</f>
        <v/>
      </c>
      <c r="M1141">
        <f>IF(OR(L1141="",L1141=0),"",ROUND(100/L1141,0))</f>
        <v/>
      </c>
      <c r="N1141" t="inlineStr">
        <is>
          <t>low sample</t>
        </is>
      </c>
    </row>
    <row r="1142">
      <c r="A1142" t="n">
        <v>7</v>
      </c>
      <c r="B1142" t="inlineStr">
        <is>
          <t>Thornwood Forest</t>
        </is>
      </c>
      <c r="C1142" t="inlineStr">
        <is>
          <t>Ominous Ring</t>
        </is>
      </c>
      <c r="D1142" t="n">
        <v>0.16915755</v>
      </c>
      <c r="E1142" t="n">
        <v>6422.3</v>
      </c>
      <c r="F1142" s="3" t="n">
        <v>0.02633909191411176</v>
      </c>
      <c r="G1142" t="n">
        <v>37966</v>
      </c>
      <c r="H1142" s="3" t="n">
        <v>0.01736763314146683</v>
      </c>
      <c r="I1142" s="3" t="n">
        <v>0.03829851841229942</v>
      </c>
      <c r="J1142" t="n">
        <v>27.1</v>
      </c>
      <c r="K1142">
        <f>IF(IFERROR(INDEX(Spots!$K$2:$K$96,MATCH(A1142,Spots!$A$2:$A$96,0)),"")="","",IFERROR(INDEX(Spots!$K$2:$K$96,MATCH(A1142,Spots!$A$2:$A$96,0)),""))</f>
        <v/>
      </c>
      <c r="L1142" s="3">
        <f>IF(OR(K1142="",F1142=""),"",F1142/1000*K1142*100)</f>
        <v/>
      </c>
      <c r="M1142">
        <f>IF(OR(L1142="",L1142=0),"",ROUND(100/L1142,0))</f>
        <v/>
      </c>
      <c r="N1142" t="inlineStr">
        <is>
          <t>low sample</t>
        </is>
      </c>
    </row>
    <row r="1143">
      <c r="A1143" t="n">
        <v>7</v>
      </c>
      <c r="B1143" t="inlineStr">
        <is>
          <t>Thornwood Forest</t>
        </is>
      </c>
      <c r="C1143" t="inlineStr">
        <is>
          <t>Any Artifact</t>
        </is>
      </c>
      <c r="D1143" t="n">
        <v>0.12677044</v>
      </c>
      <c r="E1143" t="n">
        <v>6422.3</v>
      </c>
      <c r="F1143" s="3" t="n">
        <v>0.01973910281363375</v>
      </c>
      <c r="G1143" t="n">
        <v>50661</v>
      </c>
      <c r="H1143" s="3" t="n">
        <v>0.01210283183331606</v>
      </c>
      <c r="I1143" s="3" t="n">
        <v>0.03038869439846702</v>
      </c>
      <c r="J1143" t="n">
        <v>20.3</v>
      </c>
      <c r="K1143">
        <f>IF(IFERROR(INDEX(Spots!$K$2:$K$96,MATCH(A1143,Spots!$A$2:$A$96,0)),"")="","",IFERROR(INDEX(Spots!$K$2:$K$96,MATCH(A1143,Spots!$A$2:$A$96,0)),""))</f>
        <v/>
      </c>
      <c r="L1143" s="3">
        <f>IF(OR(K1143="",F1143=""),"",F1143/1000*K1143*100)</f>
        <v/>
      </c>
      <c r="M1143">
        <f>IF(OR(L1143="",L1143=0),"",ROUND(100/L1143,0))</f>
        <v/>
      </c>
      <c r="N1143" t="inlineStr">
        <is>
          <t>low sample</t>
        </is>
      </c>
    </row>
    <row r="1144">
      <c r="A1144" t="n">
        <v>7</v>
      </c>
      <c r="B1144" t="inlineStr">
        <is>
          <t>Thornwood Forest</t>
        </is>
      </c>
      <c r="C1144" t="inlineStr">
        <is>
          <t>Imperfect Lightstone of Wind</t>
        </is>
      </c>
      <c r="D1144" t="n">
        <v>0.06131448</v>
      </c>
      <c r="E1144" t="n">
        <v>6422.3</v>
      </c>
      <c r="F1144" s="3" t="n">
        <v>0.009547121747660495</v>
      </c>
      <c r="G1144" t="n">
        <v>104744</v>
      </c>
      <c r="H1144" s="3" t="n">
        <v>0.004534379501619797</v>
      </c>
      <c r="I1144" s="3" t="n">
        <v>0.01765229065894106</v>
      </c>
      <c r="J1144" t="n">
        <v>9.800000000000001</v>
      </c>
      <c r="K1144">
        <f>IF(IFERROR(INDEX(Spots!$K$2:$K$96,MATCH(A1144,Spots!$A$2:$A$96,0)),"")="","",IFERROR(INDEX(Spots!$K$2:$K$96,MATCH(A1144,Spots!$A$2:$A$96,0)),""))</f>
        <v/>
      </c>
      <c r="L1144" s="3">
        <f>IF(OR(K1144="",F1144=""),"",F1144/1000*K1144*100)</f>
        <v/>
      </c>
      <c r="M1144">
        <f>IF(OR(L1144="",L1144=0),"",ROUND(100/L1144,0))</f>
        <v/>
      </c>
      <c r="N1144" t="inlineStr">
        <is>
          <t>low sample</t>
        </is>
      </c>
    </row>
    <row r="1145">
      <c r="A1145" t="n">
        <v>7</v>
      </c>
      <c r="B1145" t="inlineStr">
        <is>
          <t>Thornwood Forest</t>
        </is>
      </c>
      <c r="C1145" t="inlineStr">
        <is>
          <t>Imperfect Lightstone of Earth</t>
        </is>
      </c>
      <c r="D1145" t="n">
        <v>0.04736843</v>
      </c>
      <c r="E1145" t="n">
        <v>6422.3</v>
      </c>
      <c r="F1145" s="3" t="n">
        <v>0.007375617769334973</v>
      </c>
      <c r="G1145" t="n">
        <v>135582</v>
      </c>
      <c r="H1145" s="3" t="n">
        <v>0.003088921025829327</v>
      </c>
      <c r="I1145" s="3" t="n">
        <v>0.01478866112101153</v>
      </c>
      <c r="J1145" t="n">
        <v>7.6</v>
      </c>
      <c r="K1145">
        <f>IF(IFERROR(INDEX(Spots!$K$2:$K$96,MATCH(A1145,Spots!$A$2:$A$96,0)),"")="","",IFERROR(INDEX(Spots!$K$2:$K$96,MATCH(A1145,Spots!$A$2:$A$96,0)),""))</f>
        <v/>
      </c>
      <c r="L1145" s="3">
        <f>IF(OR(K1145="",F1145=""),"",F1145/1000*K1145*100)</f>
        <v/>
      </c>
      <c r="M1145">
        <f>IF(OR(L1145="",L1145=0),"",ROUND(100/L1145,0))</f>
        <v/>
      </c>
      <c r="N1145" t="inlineStr">
        <is>
          <t>low sample</t>
        </is>
      </c>
    </row>
    <row r="1146">
      <c r="A1146" t="n">
        <v>7</v>
      </c>
      <c r="B1146" t="inlineStr">
        <is>
          <t>Thornwood Forest</t>
        </is>
      </c>
      <c r="C1146" t="inlineStr">
        <is>
          <t>Quturan's Left Lung</t>
        </is>
      </c>
      <c r="D1146" t="n">
        <v>0.00475309</v>
      </c>
      <c r="E1146" t="n">
        <v>6422.3</v>
      </c>
      <c r="F1146" s="3" t="n">
        <v>0.0007400915559846161</v>
      </c>
      <c r="G1146" t="n">
        <v>1351184</v>
      </c>
      <c r="H1146" s="3" t="n">
        <v>8.643886452387783e-07</v>
      </c>
      <c r="I1146" s="3" t="n">
        <v>0.004998230594548031</v>
      </c>
      <c r="J1146" t="n">
        <v>0.8</v>
      </c>
      <c r="K1146">
        <f>IF(IFERROR(INDEX(Spots!$K$2:$K$96,MATCH(A1146,Spots!$A$2:$A$96,0)),"")="","",IFERROR(INDEX(Spots!$K$2:$K$96,MATCH(A1146,Spots!$A$2:$A$96,0)),""))</f>
        <v/>
      </c>
      <c r="L1146" s="3">
        <f>IF(OR(K1146="",F1146=""),"",F1146/1000*K1146*100)</f>
        <v/>
      </c>
      <c r="M1146">
        <f>IF(OR(L1146="",L1146=0),"",ROUND(100/L1146,0))</f>
        <v/>
      </c>
      <c r="N1146" t="inlineStr">
        <is>
          <t>low sample</t>
        </is>
      </c>
    </row>
    <row r="1147">
      <c r="A1147" t="n">
        <v>83</v>
      </c>
      <c r="B1147" t="inlineStr">
        <is>
          <t>Titium Valley</t>
        </is>
      </c>
      <c r="C1147" t="inlineStr">
        <is>
          <t>Black Stone</t>
        </is>
      </c>
      <c r="D1147" t="n">
        <v>41.345</v>
      </c>
      <c r="E1147" t="n">
        <v>4172.7</v>
      </c>
      <c r="F1147" s="3" t="n">
        <v>9.908452560692117</v>
      </c>
      <c r="G1147" t="n">
        <v>101</v>
      </c>
      <c r="H1147" s="3" t="n">
        <v>9.19718047499757</v>
      </c>
      <c r="I1147" s="3" t="n">
        <v>10.66012770990849</v>
      </c>
      <c r="J1147" t="n">
        <v>718.7</v>
      </c>
      <c r="K1147">
        <f>IF(IFERROR(INDEX(Spots!$K$2:$K$96,MATCH(A1147,Spots!$A$2:$A$96,0)),"")="","",IFERROR(INDEX(Spots!$K$2:$K$96,MATCH(A1147,Spots!$A$2:$A$96,0)),""))</f>
        <v/>
      </c>
      <c r="L1147" s="3">
        <f>IF(OR(K1147="",F1147=""),"",F1147/1000*K1147*100)</f>
        <v/>
      </c>
      <c r="M1147">
        <f>IF(OR(L1147="",L1147=0),"",ROUND(100/L1147,0))</f>
        <v/>
      </c>
      <c r="N1147" t="inlineStr">
        <is>
          <t>low sample</t>
        </is>
      </c>
    </row>
    <row r="1148">
      <c r="A1148" t="n">
        <v>83</v>
      </c>
      <c r="B1148" t="inlineStr">
        <is>
          <t>Titium Valley</t>
        </is>
      </c>
      <c r="C1148" t="inlineStr">
        <is>
          <t>Trace of Nature</t>
        </is>
      </c>
      <c r="D1148" t="n">
        <v>7.835597</v>
      </c>
      <c r="E1148" t="n">
        <v>4172.7</v>
      </c>
      <c r="F1148" s="3" t="n">
        <v>1.877824190572052</v>
      </c>
      <c r="G1148" t="n">
        <v>533</v>
      </c>
      <c r="H1148" s="3" t="n">
        <v>1.575695536641357</v>
      </c>
      <c r="I1148" s="3" t="n">
        <v>2.220991066826731</v>
      </c>
      <c r="J1148" t="n">
        <v>136.2</v>
      </c>
      <c r="K1148">
        <f>IF(IFERROR(INDEX(Spots!$K$2:$K$96,MATCH(A1148,Spots!$A$2:$A$96,0)),"")="","",IFERROR(INDEX(Spots!$K$2:$K$96,MATCH(A1148,Spots!$A$2:$A$96,0)),""))</f>
        <v/>
      </c>
      <c r="L1148" s="3">
        <f>IF(OR(K1148="",F1148=""),"",F1148/1000*K1148*100)</f>
        <v/>
      </c>
      <c r="M1148">
        <f>IF(OR(L1148="",L1148=0),"",ROUND(100/L1148,0))</f>
        <v/>
      </c>
      <c r="N1148" t="inlineStr">
        <is>
          <t>low sample</t>
        </is>
      </c>
    </row>
    <row r="1149">
      <c r="A1149" t="n">
        <v>83</v>
      </c>
      <c r="B1149" t="inlineStr">
        <is>
          <t>Titium Valley</t>
        </is>
      </c>
      <c r="C1149" t="inlineStr">
        <is>
          <t>Scroll Written in Ancient Language</t>
        </is>
      </c>
      <c r="D1149" t="n">
        <v>6.501288</v>
      </c>
      <c r="E1149" t="n">
        <v>4172.7</v>
      </c>
      <c r="F1149" s="3" t="n">
        <v>1.558053059170321</v>
      </c>
      <c r="G1149" t="n">
        <v>642</v>
      </c>
      <c r="H1149" s="3" t="n">
        <v>1.284043611788969</v>
      </c>
      <c r="I1149" s="3" t="n">
        <v>1.873209179921998</v>
      </c>
      <c r="J1149" t="n">
        <v>113</v>
      </c>
      <c r="K1149">
        <f>IF(IFERROR(INDEX(Spots!$K$2:$K$96,MATCH(A1149,Spots!$A$2:$A$96,0)),"")="","",IFERROR(INDEX(Spots!$K$2:$K$96,MATCH(A1149,Spots!$A$2:$A$96,0)),""))</f>
        <v/>
      </c>
      <c r="L1149" s="3">
        <f>IF(OR(K1149="",F1149=""),"",F1149/1000*K1149*100)</f>
        <v/>
      </c>
      <c r="M1149">
        <f>IF(OR(L1149="",L1149=0),"",ROUND(100/L1149,0))</f>
        <v/>
      </c>
      <c r="N1149" t="inlineStr">
        <is>
          <t>low sample</t>
        </is>
      </c>
    </row>
    <row r="1150">
      <c r="A1150" t="n">
        <v>83</v>
      </c>
      <c r="B1150" t="inlineStr">
        <is>
          <t>Titium Valley</t>
        </is>
      </c>
      <c r="C1150" t="inlineStr">
        <is>
          <t>Caphras Stone</t>
        </is>
      </c>
      <c r="D1150" t="n">
        <v>5.540602</v>
      </c>
      <c r="E1150" t="n">
        <v>4172.7</v>
      </c>
      <c r="F1150" s="3" t="n">
        <v>1.327821794042227</v>
      </c>
      <c r="G1150" t="n">
        <v>753</v>
      </c>
      <c r="H1150" s="3" t="n">
        <v>1.07589876223216</v>
      </c>
      <c r="I1150" s="3" t="n">
        <v>1.620992349490736</v>
      </c>
      <c r="J1150" t="n">
        <v>96.3</v>
      </c>
      <c r="K1150">
        <f>IF(IFERROR(INDEX(Spots!$K$2:$K$96,MATCH(A1150,Spots!$A$2:$A$96,0)),"")="","",IFERROR(INDEX(Spots!$K$2:$K$96,MATCH(A1150,Spots!$A$2:$A$96,0)),""))</f>
        <v/>
      </c>
      <c r="L1150" s="3">
        <f>IF(OR(K1150="",F1150=""),"",F1150/1000*K1150*100)</f>
        <v/>
      </c>
      <c r="M1150">
        <f>IF(OR(L1150="",L1150=0),"",ROUND(100/L1150,0))</f>
        <v/>
      </c>
      <c r="N1150" t="inlineStr">
        <is>
          <t>low sample</t>
        </is>
      </c>
    </row>
    <row r="1151">
      <c r="A1151" t="n">
        <v>83</v>
      </c>
      <c r="B1151" t="inlineStr">
        <is>
          <t>Titium Valley</t>
        </is>
      </c>
      <c r="C1151" t="inlineStr">
        <is>
          <t>Sealed Black Magic Crystal</t>
        </is>
      </c>
      <c r="D1151" t="n">
        <v>2.983701</v>
      </c>
      <c r="E1151" t="n">
        <v>4172.7</v>
      </c>
      <c r="F1151" s="3" t="n">
        <v>0.7150528434826371</v>
      </c>
      <c r="G1151" t="n">
        <v>1398</v>
      </c>
      <c r="H1151" s="3" t="n">
        <v>0.5337791272546544</v>
      </c>
      <c r="I1151" s="3" t="n">
        <v>0.9380442456432844</v>
      </c>
      <c r="J1151" t="n">
        <v>51.9</v>
      </c>
      <c r="K1151">
        <f>IF(IFERROR(INDEX(Spots!$K$2:$K$96,MATCH(A1151,Spots!$A$2:$A$96,0)),"")="","",IFERROR(INDEX(Spots!$K$2:$K$96,MATCH(A1151,Spots!$A$2:$A$96,0)),""))</f>
        <v/>
      </c>
      <c r="L1151" s="3">
        <f>IF(OR(K1151="",F1151=""),"",F1151/1000*K1151*100)</f>
        <v/>
      </c>
      <c r="M1151">
        <f>IF(OR(L1151="",L1151=0),"",ROUND(100/L1151,0))</f>
        <v/>
      </c>
      <c r="N1151" t="inlineStr">
        <is>
          <t>low sample</t>
        </is>
      </c>
    </row>
    <row r="1152">
      <c r="A1152" t="n">
        <v>83</v>
      </c>
      <c r="B1152" t="inlineStr">
        <is>
          <t>Titium Valley</t>
        </is>
      </c>
      <c r="C1152" t="inlineStr">
        <is>
          <t>Ancient Spirit Dust</t>
        </is>
      </c>
      <c r="D1152" t="n">
        <v>2.962665</v>
      </c>
      <c r="E1152" t="n">
        <v>4172.7</v>
      </c>
      <c r="F1152" s="3" t="n">
        <v>0.7100115033431591</v>
      </c>
      <c r="G1152" t="n">
        <v>1408</v>
      </c>
      <c r="H1152" s="3" t="n">
        <v>0.5294258611969115</v>
      </c>
      <c r="I1152" s="3" t="n">
        <v>0.9323210245096804</v>
      </c>
      <c r="J1152" t="n">
        <v>51.5</v>
      </c>
      <c r="K1152">
        <f>IF(IFERROR(INDEX(Spots!$K$2:$K$96,MATCH(A1152,Spots!$A$2:$A$96,0)),"")="","",IFERROR(INDEX(Spots!$K$2:$K$96,MATCH(A1152,Spots!$A$2:$A$96,0)),""))</f>
        <v/>
      </c>
      <c r="L1152" s="3">
        <f>IF(OR(K1152="",F1152=""),"",F1152/1000*K1152*100)</f>
        <v/>
      </c>
      <c r="M1152">
        <f>IF(OR(L1152="",L1152=0),"",ROUND(100/L1152,0))</f>
        <v/>
      </c>
      <c r="N1152" t="inlineStr">
        <is>
          <t>low sample</t>
        </is>
      </c>
    </row>
    <row r="1153">
      <c r="A1153" t="n">
        <v>83</v>
      </c>
      <c r="B1153" t="inlineStr">
        <is>
          <t>Titium Valley</t>
        </is>
      </c>
      <c r="C1153" t="inlineStr">
        <is>
          <t>Yona's Fragment</t>
        </is>
      </c>
      <c r="D1153" t="n">
        <v>2.205044</v>
      </c>
      <c r="E1153" t="n">
        <v>4172.7</v>
      </c>
      <c r="F1153" s="3" t="n">
        <v>0.5284453711026434</v>
      </c>
      <c r="G1153" t="n">
        <v>1892</v>
      </c>
      <c r="H1153" s="3" t="n">
        <v>0.3745191946033815</v>
      </c>
      <c r="I1153" s="3" t="n">
        <v>0.7243726262324423</v>
      </c>
      <c r="J1153" t="n">
        <v>38.3</v>
      </c>
      <c r="K1153">
        <f>IF(IFERROR(INDEX(Spots!$K$2:$K$96,MATCH(A1153,Spots!$A$2:$A$96,0)),"")="","",IFERROR(INDEX(Spots!$K$2:$K$96,MATCH(A1153,Spots!$A$2:$A$96,0)),""))</f>
        <v/>
      </c>
      <c r="L1153" s="3">
        <f>IF(OR(K1153="",F1153=""),"",F1153/1000*K1153*100)</f>
        <v/>
      </c>
      <c r="M1153">
        <f>IF(OR(L1153="",L1153=0),"",ROUND(100/L1153,0))</f>
        <v/>
      </c>
      <c r="N1153" t="inlineStr">
        <is>
          <t>low sample</t>
        </is>
      </c>
    </row>
    <row r="1154">
      <c r="A1154" t="n">
        <v>83</v>
      </c>
      <c r="B1154" t="inlineStr">
        <is>
          <t>Titium Valley</t>
        </is>
      </c>
      <c r="C1154" t="inlineStr">
        <is>
          <t>Rocaba Defense Gear Box</t>
        </is>
      </c>
      <c r="D1154" t="n">
        <v>2.17076</v>
      </c>
      <c r="E1154" t="n">
        <v>4172.7</v>
      </c>
      <c r="F1154" s="3" t="n">
        <v>0.5202291082512522</v>
      </c>
      <c r="G1154" t="n">
        <v>1922</v>
      </c>
      <c r="H1154" s="3" t="n">
        <v>0.367610683927891</v>
      </c>
      <c r="I1154" s="3" t="n">
        <v>0.7148643815033392</v>
      </c>
      <c r="J1154" t="n">
        <v>37.7</v>
      </c>
      <c r="K1154">
        <f>IF(IFERROR(INDEX(Spots!$K$2:$K$96,MATCH(A1154,Spots!$A$2:$A$96,0)),"")="","",IFERROR(INDEX(Spots!$K$2:$K$96,MATCH(A1154,Spots!$A$2:$A$96,0)),""))</f>
        <v/>
      </c>
      <c r="L1154" s="3">
        <f>IF(OR(K1154="",F1154=""),"",F1154/1000*K1154*100)</f>
        <v/>
      </c>
      <c r="M1154">
        <f>IF(OR(L1154="",L1154=0),"",ROUND(100/L1154,0))</f>
        <v/>
      </c>
      <c r="N1154" t="inlineStr">
        <is>
          <t>low sample</t>
        </is>
      </c>
    </row>
    <row r="1155">
      <c r="A1155" t="n">
        <v>83</v>
      </c>
      <c r="B1155" t="inlineStr">
        <is>
          <t>Titium Valley</t>
        </is>
      </c>
      <c r="C1155" t="inlineStr">
        <is>
          <t>Mass of Pure Magic</t>
        </is>
      </c>
      <c r="D1155" t="n">
        <v>0.85403275</v>
      </c>
      <c r="E1155" t="n">
        <v>4172.7</v>
      </c>
      <c r="F1155" s="3" t="n">
        <v>0.2046714956742637</v>
      </c>
      <c r="G1155" t="n">
        <v>4886</v>
      </c>
      <c r="H1155" s="3" t="n">
        <v>0.114072789743106</v>
      </c>
      <c r="I1155" s="3" t="n">
        <v>0.3384507789246973</v>
      </c>
      <c r="J1155" t="n">
        <v>14.8</v>
      </c>
      <c r="K1155">
        <f>IF(IFERROR(INDEX(Spots!$K$2:$K$96,MATCH(A1155,Spots!$A$2:$A$96,0)),"")="","",IFERROR(INDEX(Spots!$K$2:$K$96,MATCH(A1155,Spots!$A$2:$A$96,0)),""))</f>
        <v/>
      </c>
      <c r="L1155" s="3">
        <f>IF(OR(K1155="",F1155=""),"",F1155/1000*K1155*100)</f>
        <v/>
      </c>
      <c r="M1155">
        <f>IF(OR(L1155="",L1155=0),"",ROUND(100/L1155,0))</f>
        <v/>
      </c>
      <c r="N1155" t="inlineStr">
        <is>
          <t>low sample</t>
        </is>
      </c>
    </row>
    <row r="1156">
      <c r="A1156" t="n">
        <v>83</v>
      </c>
      <c r="B1156" t="inlineStr">
        <is>
          <t>Titium Valley</t>
        </is>
      </c>
      <c r="C1156" t="inlineStr">
        <is>
          <t>Imperfect Lightstone of Earth</t>
        </is>
      </c>
      <c r="D1156" t="n">
        <v>0.84884336</v>
      </c>
      <c r="E1156" t="n">
        <v>4172.7</v>
      </c>
      <c r="F1156" s="3" t="n">
        <v>0.2034278428835047</v>
      </c>
      <c r="G1156" t="n">
        <v>4916</v>
      </c>
      <c r="H1156" s="3" t="n">
        <v>0.1131469940902203</v>
      </c>
      <c r="I1156" s="3" t="n">
        <v>0.3368984857087979</v>
      </c>
      <c r="J1156" t="n">
        <v>14.8</v>
      </c>
      <c r="K1156">
        <f>IF(IFERROR(INDEX(Spots!$K$2:$K$96,MATCH(A1156,Spots!$A$2:$A$96,0)),"")="","",IFERROR(INDEX(Spots!$K$2:$K$96,MATCH(A1156,Spots!$A$2:$A$96,0)),""))</f>
        <v/>
      </c>
      <c r="L1156" s="3">
        <f>IF(OR(K1156="",F1156=""),"",F1156/1000*K1156*100)</f>
        <v/>
      </c>
      <c r="M1156">
        <f>IF(OR(L1156="",L1156=0),"",ROUND(100/L1156,0))</f>
        <v/>
      </c>
      <c r="N1156" t="inlineStr">
        <is>
          <t>low sample</t>
        </is>
      </c>
    </row>
    <row r="1157">
      <c r="A1157" t="n">
        <v>83</v>
      </c>
      <c r="B1157" t="inlineStr">
        <is>
          <t>Titium Valley</t>
        </is>
      </c>
      <c r="C1157" t="inlineStr">
        <is>
          <t>Atanis' Element</t>
        </is>
      </c>
      <c r="D1157" t="n">
        <v>0.7067395400000001</v>
      </c>
      <c r="E1157" t="n">
        <v>4172.7</v>
      </c>
      <c r="F1157" s="3" t="n">
        <v>0.1693722385985094</v>
      </c>
      <c r="G1157" t="n">
        <v>5904</v>
      </c>
      <c r="H1157" s="3" t="n">
        <v>0.08820962877660776</v>
      </c>
      <c r="I1157" s="3" t="n">
        <v>0.2940125501770075</v>
      </c>
      <c r="J1157" t="n">
        <v>12.3</v>
      </c>
      <c r="K1157">
        <f>IF(IFERROR(INDEX(Spots!$K$2:$K$96,MATCH(A1157,Spots!$A$2:$A$96,0)),"")="","",IFERROR(INDEX(Spots!$K$2:$K$96,MATCH(A1157,Spots!$A$2:$A$96,0)),""))</f>
        <v/>
      </c>
      <c r="L1157" s="3">
        <f>IF(OR(K1157="",F1157=""),"",F1157/1000*K1157*100)</f>
        <v/>
      </c>
      <c r="M1157">
        <f>IF(OR(L1157="",L1157=0),"",ROUND(100/L1157,0))</f>
        <v/>
      </c>
      <c r="N1157" t="inlineStr">
        <is>
          <t>low sample</t>
        </is>
      </c>
    </row>
    <row r="1158">
      <c r="A1158" t="n">
        <v>83</v>
      </c>
      <c r="B1158" t="inlineStr">
        <is>
          <t>Titium Valley</t>
        </is>
      </c>
      <c r="C1158" t="inlineStr">
        <is>
          <t>Serap's Necklace</t>
        </is>
      </c>
      <c r="D1158" t="n">
        <v>0.62101208</v>
      </c>
      <c r="E1158" t="n">
        <v>4172.7</v>
      </c>
      <c r="F1158" s="3" t="n">
        <v>0.1488273971289573</v>
      </c>
      <c r="G1158" t="n">
        <v>6719</v>
      </c>
      <c r="H1158" s="3" t="n">
        <v>0.07361782671737623</v>
      </c>
      <c r="I1158" s="3" t="n">
        <v>0.2677308262843842</v>
      </c>
      <c r="J1158" t="n">
        <v>10.8</v>
      </c>
      <c r="K1158">
        <f>IF(IFERROR(INDEX(Spots!$K$2:$K$96,MATCH(A1158,Spots!$A$2:$A$96,0)),"")="","",IFERROR(INDEX(Spots!$K$2:$K$96,MATCH(A1158,Spots!$A$2:$A$96,0)),""))</f>
        <v/>
      </c>
      <c r="L1158" s="3">
        <f>IF(OR(K1158="",F1158=""),"",F1158/1000*K1158*100)</f>
        <v/>
      </c>
      <c r="M1158">
        <f>IF(OR(L1158="",L1158=0),"",ROUND(100/L1158,0))</f>
        <v/>
      </c>
      <c r="N1158" t="inlineStr">
        <is>
          <t>low sample</t>
        </is>
      </c>
    </row>
    <row r="1159">
      <c r="A1159" t="n">
        <v>83</v>
      </c>
      <c r="B1159" t="inlineStr">
        <is>
          <t>Titium Valley</t>
        </is>
      </c>
      <c r="C1159" t="inlineStr">
        <is>
          <t>Part for Explorer's Compass</t>
        </is>
      </c>
      <c r="D1159" t="n">
        <v>0.36268959</v>
      </c>
      <c r="E1159" t="n">
        <v>4172.7</v>
      </c>
      <c r="F1159" s="3" t="n">
        <v>0.08691964195844418</v>
      </c>
      <c r="G1159" t="n">
        <v>11505</v>
      </c>
      <c r="H1159" s="3" t="n">
        <v>0.03273823571957264</v>
      </c>
      <c r="I1159" s="3" t="n">
        <v>0.185814372636129</v>
      </c>
      <c r="J1159" t="n">
        <v>6.3</v>
      </c>
      <c r="K1159">
        <f>IF(IFERROR(INDEX(Spots!$K$2:$K$96,MATCH(A1159,Spots!$A$2:$A$96,0)),"")="","",IFERROR(INDEX(Spots!$K$2:$K$96,MATCH(A1159,Spots!$A$2:$A$96,0)),""))</f>
        <v/>
      </c>
      <c r="L1159" s="3">
        <f>IF(OR(K1159="",F1159=""),"",F1159/1000*K1159*100)</f>
        <v/>
      </c>
      <c r="M1159">
        <f>IF(OR(L1159="",L1159=0),"",ROUND(100/L1159,0))</f>
        <v/>
      </c>
      <c r="N1159" t="inlineStr">
        <is>
          <t>low sample</t>
        </is>
      </c>
    </row>
    <row r="1160">
      <c r="A1160" t="n">
        <v>83</v>
      </c>
      <c r="B1160" t="inlineStr">
        <is>
          <t>Titium Valley</t>
        </is>
      </c>
      <c r="C1160" t="inlineStr">
        <is>
          <t>Any Artifact</t>
        </is>
      </c>
      <c r="D1160" t="n">
        <v>0.28914547</v>
      </c>
      <c r="E1160" t="n">
        <v>4172.7</v>
      </c>
      <c r="F1160" s="3" t="n">
        <v>0.06929457425647663</v>
      </c>
      <c r="G1160" t="n">
        <v>14431</v>
      </c>
      <c r="H1160" s="3" t="n">
        <v>0.02241731073076914</v>
      </c>
      <c r="I1160" s="3" t="n">
        <v>0.1613740251503387</v>
      </c>
      <c r="J1160" t="n">
        <v>5</v>
      </c>
      <c r="K1160">
        <f>IF(IFERROR(INDEX(Spots!$K$2:$K$96,MATCH(A1160,Spots!$A$2:$A$96,0)),"")="","",IFERROR(INDEX(Spots!$K$2:$K$96,MATCH(A1160,Spots!$A$2:$A$96,0)),""))</f>
        <v/>
      </c>
      <c r="L1160" s="3">
        <f>IF(OR(K1160="",F1160=""),"",F1160/1000*K1160*100)</f>
        <v/>
      </c>
      <c r="M1160">
        <f>IF(OR(L1160="",L1160=0),"",ROUND(100/L1160,0))</f>
        <v/>
      </c>
      <c r="N1160" t="inlineStr">
        <is>
          <t>low sample</t>
        </is>
      </c>
    </row>
    <row r="1161">
      <c r="A1161" t="n">
        <v>83</v>
      </c>
      <c r="B1161" t="inlineStr">
        <is>
          <t>Titium Valley</t>
        </is>
      </c>
      <c r="C1161" t="inlineStr">
        <is>
          <t>Imperfect Lightstone of Fire</t>
        </is>
      </c>
      <c r="D1161" t="n">
        <v>0.16552706</v>
      </c>
      <c r="E1161" t="n">
        <v>4172.7</v>
      </c>
      <c r="F1161" s="3" t="n">
        <v>0.03966905361037219</v>
      </c>
      <c r="G1161" t="n">
        <v>25209</v>
      </c>
      <c r="H1161" s="3" t="n">
        <v>0.007590022659968719</v>
      </c>
      <c r="I1161" s="3" t="n">
        <v>0.1182930921566731</v>
      </c>
      <c r="J1161" t="n">
        <v>2.9</v>
      </c>
      <c r="K1161">
        <f>IF(IFERROR(INDEX(Spots!$K$2:$K$96,MATCH(A1161,Spots!$A$2:$A$96,0)),"")="","",IFERROR(INDEX(Spots!$K$2:$K$96,MATCH(A1161,Spots!$A$2:$A$96,0)),""))</f>
        <v/>
      </c>
      <c r="L1161" s="3">
        <f>IF(OR(K1161="",F1161=""),"",F1161/1000*K1161*100)</f>
        <v/>
      </c>
      <c r="M1161">
        <f>IF(OR(L1161="",L1161=0),"",ROUND(100/L1161,0))</f>
        <v/>
      </c>
      <c r="N1161" t="inlineStr">
        <is>
          <t>low sample</t>
        </is>
      </c>
    </row>
    <row r="1162">
      <c r="A1162" t="n">
        <v>83</v>
      </c>
      <c r="B1162" t="inlineStr">
        <is>
          <t>Titium Valley</t>
        </is>
      </c>
      <c r="C1162" t="inlineStr">
        <is>
          <t>Imperfect Lightstone of Wind</t>
        </is>
      </c>
      <c r="D1162" t="n">
        <v>0.04806731</v>
      </c>
      <c r="E1162" t="n">
        <v>4172.7</v>
      </c>
      <c r="F1162" s="3" t="n">
        <v>0.01151947420135644</v>
      </c>
      <c r="G1162" t="n">
        <v>86810</v>
      </c>
      <c r="H1162" s="3" t="n">
        <v>4.068724246031291e-05</v>
      </c>
      <c r="I1162" s="3" t="n">
        <v>0.07271728173356022</v>
      </c>
      <c r="J1162" t="n">
        <v>0.8</v>
      </c>
      <c r="K1162">
        <f>IF(IFERROR(INDEX(Spots!$K$2:$K$96,MATCH(A1162,Spots!$A$2:$A$96,0)),"")="","",IFERROR(INDEX(Spots!$K$2:$K$96,MATCH(A1162,Spots!$A$2:$A$96,0)),""))</f>
        <v/>
      </c>
      <c r="L1162" s="3">
        <f>IF(OR(K1162="",F1162=""),"",F1162/1000*K1162*100)</f>
        <v/>
      </c>
      <c r="M1162">
        <f>IF(OR(L1162="",L1162=0),"",ROUND(100/L1162,0))</f>
        <v/>
      </c>
      <c r="N1162" t="inlineStr">
        <is>
          <t>low sample</t>
        </is>
      </c>
    </row>
    <row r="1163">
      <c r="A1163" t="n">
        <v>83</v>
      </c>
      <c r="B1163" t="inlineStr">
        <is>
          <t>Titium Valley</t>
        </is>
      </c>
      <c r="C1163" t="inlineStr">
        <is>
          <t>Great Marni's Stone (Desert Fogans)</t>
        </is>
      </c>
      <c r="D1163" t="n">
        <v>0.0318627</v>
      </c>
      <c r="E1163" t="n">
        <v>4172.7</v>
      </c>
      <c r="F1163" s="3" t="n">
        <v>0.007635991084909052</v>
      </c>
      <c r="G1163" t="n">
        <v>130959</v>
      </c>
      <c r="H1163" s="3" t="n">
        <v>0</v>
      </c>
      <c r="I1163" s="3" t="n">
        <v>0.06566187039477894</v>
      </c>
      <c r="J1163" t="n">
        <v>0.6</v>
      </c>
      <c r="K1163">
        <f>IF(IFERROR(INDEX(Spots!$K$2:$K$96,MATCH(A1163,Spots!$A$2:$A$96,0)),"")="","",IFERROR(INDEX(Spots!$K$2:$K$96,MATCH(A1163,Spots!$A$2:$A$96,0)),""))</f>
        <v/>
      </c>
      <c r="L1163" s="3">
        <f>IF(OR(K1163="",F1163=""),"",F1163/1000*K1163*100)</f>
        <v/>
      </c>
      <c r="M1163">
        <f>IF(OR(L1163="",L1163=0),"",ROUND(100/L1163,0))</f>
        <v/>
      </c>
      <c r="N1163" t="inlineStr">
        <is>
          <t>low sample</t>
        </is>
      </c>
    </row>
    <row r="1164">
      <c r="A1164" t="n">
        <v>83</v>
      </c>
      <c r="B1164" t="inlineStr">
        <is>
          <t>Titium Valley</t>
        </is>
      </c>
      <c r="C1164" t="inlineStr">
        <is>
          <t>Specter's Energy</t>
        </is>
      </c>
      <c r="D1164" t="n">
        <v>0.0162046</v>
      </c>
      <c r="E1164" t="n">
        <v>4172.7</v>
      </c>
      <c r="F1164" s="3" t="n">
        <v>0.00388348071991756</v>
      </c>
      <c r="G1164" t="n">
        <v>257501</v>
      </c>
      <c r="H1164" s="3" t="n">
        <v>0</v>
      </c>
      <c r="I1164" s="3" t="n">
        <v>0.05849787211411848</v>
      </c>
      <c r="J1164" t="n">
        <v>0.3</v>
      </c>
      <c r="K1164">
        <f>IF(IFERROR(INDEX(Spots!$K$2:$K$96,MATCH(A1164,Spots!$A$2:$A$96,0)),"")="","",IFERROR(INDEX(Spots!$K$2:$K$96,MATCH(A1164,Spots!$A$2:$A$96,0)),""))</f>
        <v/>
      </c>
      <c r="L1164" s="3">
        <f>IF(OR(K1164="",F1164=""),"",F1164/1000*K1164*100)</f>
        <v/>
      </c>
      <c r="M1164">
        <f>IF(OR(L1164="",L1164=0),"",ROUND(100/L1164,0))</f>
        <v/>
      </c>
      <c r="N1164" t="inlineStr">
        <is>
          <t>low sample</t>
        </is>
      </c>
    </row>
    <row r="1165">
      <c r="A1165" t="n">
        <v>72</v>
      </c>
      <c r="B1165" t="inlineStr">
        <is>
          <t>Traitor's Graveyard</t>
        </is>
      </c>
      <c r="C1165" t="inlineStr">
        <is>
          <t>Trace of Nature</t>
        </is>
      </c>
      <c r="D1165" t="n">
        <v>43.143</v>
      </c>
      <c r="E1165" t="n">
        <v>9953.6</v>
      </c>
      <c r="F1165" s="3" t="n">
        <v>4.334411670149493</v>
      </c>
      <c r="G1165" t="n">
        <v>231</v>
      </c>
      <c r="H1165" s="3" t="n">
        <v>4.116459117975401</v>
      </c>
      <c r="I1165" s="3" t="n">
        <v>4.560907898623855</v>
      </c>
      <c r="J1165" t="n">
        <v>1481.2</v>
      </c>
      <c r="K1165">
        <f>IF(IFERROR(INDEX(Spots!$K$2:$K$96,MATCH(A1165,Spots!$A$2:$A$96,0)),"")="","",IFERROR(INDEX(Spots!$K$2:$K$96,MATCH(A1165,Spots!$A$2:$A$96,0)),""))</f>
        <v/>
      </c>
      <c r="L1165" s="3">
        <f>IF(OR(K1165="",F1165=""),"",F1165/1000*K1165*100)</f>
        <v/>
      </c>
      <c r="M1165">
        <f>IF(OR(L1165="",L1165=0),"",ROUND(100/L1165,0))</f>
        <v/>
      </c>
      <c r="N1165" t="inlineStr">
        <is>
          <t>low sample</t>
        </is>
      </c>
    </row>
    <row r="1166">
      <c r="A1166" t="n">
        <v>72</v>
      </c>
      <c r="B1166" t="inlineStr">
        <is>
          <t>Traitor's Graveyard</t>
        </is>
      </c>
      <c r="C1166" t="inlineStr">
        <is>
          <t>Black Stone</t>
        </is>
      </c>
      <c r="D1166" t="n">
        <v>39.616</v>
      </c>
      <c r="E1166" t="n">
        <v>9953.6</v>
      </c>
      <c r="F1166" s="3" t="n">
        <v>3.980067513261533</v>
      </c>
      <c r="G1166" t="n">
        <v>251</v>
      </c>
      <c r="H1166" s="3" t="n">
        <v>3.771330547848482</v>
      </c>
      <c r="I1166" s="3" t="n">
        <v>4.197351362920593</v>
      </c>
      <c r="J1166" t="n">
        <v>1360.1</v>
      </c>
      <c r="K1166">
        <f>IF(IFERROR(INDEX(Spots!$K$2:$K$96,MATCH(A1166,Spots!$A$2:$A$96,0)),"")="","",IFERROR(INDEX(Spots!$K$2:$K$96,MATCH(A1166,Spots!$A$2:$A$96,0)),""))</f>
        <v/>
      </c>
      <c r="L1166" s="3">
        <f>IF(OR(K1166="",F1166=""),"",F1166/1000*K1166*100)</f>
        <v/>
      </c>
      <c r="M1166">
        <f>IF(OR(L1166="",L1166=0),"",ROUND(100/L1166,0))</f>
        <v/>
      </c>
      <c r="N1166" t="inlineStr">
        <is>
          <t>low sample</t>
        </is>
      </c>
    </row>
    <row r="1167">
      <c r="A1167" t="n">
        <v>72</v>
      </c>
      <c r="B1167" t="inlineStr">
        <is>
          <t>Traitor's Graveyard</t>
        </is>
      </c>
      <c r="C1167" t="inlineStr">
        <is>
          <t>Caphras Stone</t>
        </is>
      </c>
      <c r="D1167" t="n">
        <v>17.066</v>
      </c>
      <c r="E1167" t="n">
        <v>9953.6</v>
      </c>
      <c r="F1167" s="3" t="n">
        <v>1.714555537694904</v>
      </c>
      <c r="G1167" t="n">
        <v>583</v>
      </c>
      <c r="H1167" s="3" t="n">
        <v>1.578515500123788</v>
      </c>
      <c r="I1167" s="3" t="n">
        <v>1.859182550090742</v>
      </c>
      <c r="J1167" t="n">
        <v>585.9</v>
      </c>
      <c r="K1167">
        <f>IF(IFERROR(INDEX(Spots!$K$2:$K$96,MATCH(A1167,Spots!$A$2:$A$96,0)),"")="","",IFERROR(INDEX(Spots!$K$2:$K$96,MATCH(A1167,Spots!$A$2:$A$96,0)),""))</f>
        <v/>
      </c>
      <c r="L1167" s="3">
        <f>IF(OR(K1167="",F1167=""),"",F1167/1000*K1167*100)</f>
        <v/>
      </c>
      <c r="M1167">
        <f>IF(OR(L1167="",L1167=0),"",ROUND(100/L1167,0))</f>
        <v/>
      </c>
      <c r="N1167" t="inlineStr">
        <is>
          <t>low sample</t>
        </is>
      </c>
    </row>
    <row r="1168">
      <c r="A1168" t="n">
        <v>72</v>
      </c>
      <c r="B1168" t="inlineStr">
        <is>
          <t>Traitor's Graveyard</t>
        </is>
      </c>
      <c r="C1168" t="inlineStr">
        <is>
          <t>Ancient Spirit Dust</t>
        </is>
      </c>
      <c r="D1168" t="n">
        <v>14.704</v>
      </c>
      <c r="E1168" t="n">
        <v>9953.6</v>
      </c>
      <c r="F1168" s="3" t="n">
        <v>1.477254460697637</v>
      </c>
      <c r="G1168" t="n">
        <v>677</v>
      </c>
      <c r="H1168" s="3" t="n">
        <v>1.351180746579825</v>
      </c>
      <c r="I1168" s="3" t="n">
        <v>1.611924133527405</v>
      </c>
      <c r="J1168" t="n">
        <v>504.8</v>
      </c>
      <c r="K1168">
        <f>IF(IFERROR(INDEX(Spots!$K$2:$K$96,MATCH(A1168,Spots!$A$2:$A$96,0)),"")="","",IFERROR(INDEX(Spots!$K$2:$K$96,MATCH(A1168,Spots!$A$2:$A$96,0)),""))</f>
        <v/>
      </c>
      <c r="L1168" s="3">
        <f>IF(OR(K1168="",F1168=""),"",F1168/1000*K1168*100)</f>
        <v/>
      </c>
      <c r="M1168">
        <f>IF(OR(L1168="",L1168=0),"",ROUND(100/L1168,0))</f>
        <v/>
      </c>
      <c r="N1168" t="inlineStr">
        <is>
          <t>low sample</t>
        </is>
      </c>
    </row>
    <row r="1169">
      <c r="A1169" t="n">
        <v>72</v>
      </c>
      <c r="B1169" t="inlineStr">
        <is>
          <t>Traitor's Graveyard</t>
        </is>
      </c>
      <c r="C1169" t="inlineStr">
        <is>
          <t>Ancient Relic Crystal Shard</t>
        </is>
      </c>
      <c r="D1169" t="n">
        <v>7.112411</v>
      </c>
      <c r="E1169" t="n">
        <v>9953.6</v>
      </c>
      <c r="F1169" s="3" t="n">
        <v>0.7145566428226973</v>
      </c>
      <c r="G1169" t="n">
        <v>1399</v>
      </c>
      <c r="H1169" s="3" t="n">
        <v>0.6277319856415262</v>
      </c>
      <c r="I1169" s="3" t="n">
        <v>0.8100317567368792</v>
      </c>
      <c r="J1169" t="n">
        <v>244.2</v>
      </c>
      <c r="K1169">
        <f>IF(IFERROR(INDEX(Spots!$K$2:$K$96,MATCH(A1169,Spots!$A$2:$A$96,0)),"")="","",IFERROR(INDEX(Spots!$K$2:$K$96,MATCH(A1169,Spots!$A$2:$A$96,0)),""))</f>
        <v/>
      </c>
      <c r="L1169" s="3">
        <f>IF(OR(K1169="",F1169=""),"",F1169/1000*K1169*100)</f>
        <v/>
      </c>
      <c r="M1169">
        <f>IF(OR(L1169="",L1169=0),"",ROUND(100/L1169,0))</f>
        <v/>
      </c>
      <c r="N1169" t="inlineStr">
        <is>
          <t>low sample</t>
        </is>
      </c>
    </row>
    <row r="1170">
      <c r="A1170" t="n">
        <v>72</v>
      </c>
      <c r="B1170" t="inlineStr">
        <is>
          <t>Traitor's Graveyard</t>
        </is>
      </c>
      <c r="C1170" t="inlineStr">
        <is>
          <t>Mass of Pure Magic</t>
        </is>
      </c>
      <c r="D1170" t="n">
        <v>1.936909</v>
      </c>
      <c r="E1170" t="n">
        <v>9953.6</v>
      </c>
      <c r="F1170" s="3" t="n">
        <v>0.194593815303006</v>
      </c>
      <c r="G1170" t="n">
        <v>5139</v>
      </c>
      <c r="H1170" s="3" t="n">
        <v>0.1506464179545022</v>
      </c>
      <c r="I1170" s="3" t="n">
        <v>0.2473523659689413</v>
      </c>
      <c r="J1170" t="n">
        <v>66.5</v>
      </c>
      <c r="K1170">
        <f>IF(IFERROR(INDEX(Spots!$K$2:$K$96,MATCH(A1170,Spots!$A$2:$A$96,0)),"")="","",IFERROR(INDEX(Spots!$K$2:$K$96,MATCH(A1170,Spots!$A$2:$A$96,0)),""))</f>
        <v/>
      </c>
      <c r="L1170" s="3">
        <f>IF(OR(K1170="",F1170=""),"",F1170/1000*K1170*100)</f>
        <v/>
      </c>
      <c r="M1170">
        <f>IF(OR(L1170="",L1170=0),"",ROUND(100/L1170,0))</f>
        <v/>
      </c>
      <c r="N1170" t="inlineStr">
        <is>
          <t>low sample</t>
        </is>
      </c>
    </row>
    <row r="1171">
      <c r="A1171" t="n">
        <v>72</v>
      </c>
      <c r="B1171" t="inlineStr">
        <is>
          <t>Traitor's Graveyard</t>
        </is>
      </c>
      <c r="C1171" t="inlineStr">
        <is>
          <t>Atanis' Element</t>
        </is>
      </c>
      <c r="D1171" t="n">
        <v>0.50280947</v>
      </c>
      <c r="E1171" t="n">
        <v>9953.6</v>
      </c>
      <c r="F1171" s="3" t="n">
        <v>0.05051533816910465</v>
      </c>
      <c r="G1171" t="n">
        <v>19796</v>
      </c>
      <c r="H1171" s="3" t="n">
        <v>0.02954878488378827</v>
      </c>
      <c r="I1171" s="3" t="n">
        <v>0.08060021419720809</v>
      </c>
      <c r="J1171" t="n">
        <v>17.3</v>
      </c>
      <c r="K1171">
        <f>IF(IFERROR(INDEX(Spots!$K$2:$K$96,MATCH(A1171,Spots!$A$2:$A$96,0)),"")="","",IFERROR(INDEX(Spots!$K$2:$K$96,MATCH(A1171,Spots!$A$2:$A$96,0)),""))</f>
        <v/>
      </c>
      <c r="L1171" s="3">
        <f>IF(OR(K1171="",F1171=""),"",F1171/1000*K1171*100)</f>
        <v/>
      </c>
      <c r="M1171">
        <f>IF(OR(L1171="",L1171=0),"",ROUND(100/L1171,0))</f>
        <v/>
      </c>
      <c r="N1171" t="inlineStr">
        <is>
          <t>low sample</t>
        </is>
      </c>
    </row>
    <row r="1172">
      <c r="A1172" t="n">
        <v>72</v>
      </c>
      <c r="B1172" t="inlineStr">
        <is>
          <t>Traitor's Graveyard</t>
        </is>
      </c>
      <c r="C1172" t="inlineStr">
        <is>
          <t>Witch's Earring</t>
        </is>
      </c>
      <c r="D1172" t="n">
        <v>0.45689755</v>
      </c>
      <c r="E1172" t="n">
        <v>9953.6</v>
      </c>
      <c r="F1172" s="3" t="n">
        <v>0.04590274373091142</v>
      </c>
      <c r="G1172" t="n">
        <v>21785</v>
      </c>
      <c r="H1172" s="3" t="n">
        <v>0.02605364941977048</v>
      </c>
      <c r="I1172" s="3" t="n">
        <v>0.07489958567588412</v>
      </c>
      <c r="J1172" t="n">
        <v>15.7</v>
      </c>
      <c r="K1172">
        <f>IF(IFERROR(INDEX(Spots!$K$2:$K$96,MATCH(A1172,Spots!$A$2:$A$96,0)),"")="","",IFERROR(INDEX(Spots!$K$2:$K$96,MATCH(A1172,Spots!$A$2:$A$96,0)),""))</f>
        <v/>
      </c>
      <c r="L1172" s="3">
        <f>IF(OR(K1172="",F1172=""),"",F1172/1000*K1172*100)</f>
        <v/>
      </c>
      <c r="M1172">
        <f>IF(OR(L1172="",L1172=0),"",ROUND(100/L1172,0))</f>
        <v/>
      </c>
      <c r="N1172" t="inlineStr">
        <is>
          <t>low sample</t>
        </is>
      </c>
    </row>
    <row r="1173">
      <c r="A1173" t="n">
        <v>72</v>
      </c>
      <c r="B1173" t="inlineStr">
        <is>
          <t>Traitor's Graveyard</t>
        </is>
      </c>
      <c r="C1173" t="inlineStr">
        <is>
          <t>Imperfect Lightstone of Wind</t>
        </is>
      </c>
      <c r="D1173" t="n">
        <v>0.26703376</v>
      </c>
      <c r="E1173" t="n">
        <v>9953.6</v>
      </c>
      <c r="F1173" s="3" t="n">
        <v>0.02682785725767561</v>
      </c>
      <c r="G1173" t="n">
        <v>37275</v>
      </c>
      <c r="H1173" s="3" t="n">
        <v>0.01234873731169639</v>
      </c>
      <c r="I1173" s="3" t="n">
        <v>0.05064245287413091</v>
      </c>
      <c r="J1173" t="n">
        <v>9.199999999999999</v>
      </c>
      <c r="K1173">
        <f>IF(IFERROR(INDEX(Spots!$K$2:$K$96,MATCH(A1173,Spots!$A$2:$A$96,0)),"")="","",IFERROR(INDEX(Spots!$K$2:$K$96,MATCH(A1173,Spots!$A$2:$A$96,0)),""))</f>
        <v/>
      </c>
      <c r="L1173" s="3">
        <f>IF(OR(K1173="",F1173=""),"",F1173/1000*K1173*100)</f>
        <v/>
      </c>
      <c r="M1173">
        <f>IF(OR(L1173="",L1173=0),"",ROUND(100/L1173,0))</f>
        <v/>
      </c>
      <c r="N1173" t="inlineStr">
        <is>
          <t>low sample</t>
        </is>
      </c>
    </row>
    <row r="1174">
      <c r="A1174" t="n">
        <v>72</v>
      </c>
      <c r="B1174" t="inlineStr">
        <is>
          <t>Traitor's Graveyard</t>
        </is>
      </c>
      <c r="C1174" t="inlineStr">
        <is>
          <t>Imperfect Lightstone of Fire</t>
        </is>
      </c>
      <c r="D1174" t="n">
        <v>0.08133507</v>
      </c>
      <c r="E1174" t="n">
        <v>9953.6</v>
      </c>
      <c r="F1174" s="3" t="n">
        <v>0.0081714223999357</v>
      </c>
      <c r="G1174" t="n">
        <v>122378</v>
      </c>
      <c r="H1174" s="3" t="n">
        <v>0.001507292114190836</v>
      </c>
      <c r="I1174" s="3" t="n">
        <v>0.02473121181949121</v>
      </c>
      <c r="J1174" t="n">
        <v>2.8</v>
      </c>
      <c r="K1174">
        <f>IF(IFERROR(INDEX(Spots!$K$2:$K$96,MATCH(A1174,Spots!$A$2:$A$96,0)),"")="","",IFERROR(INDEX(Spots!$K$2:$K$96,MATCH(A1174,Spots!$A$2:$A$96,0)),""))</f>
        <v/>
      </c>
      <c r="L1174" s="3">
        <f>IF(OR(K1174="",F1174=""),"",F1174/1000*K1174*100)</f>
        <v/>
      </c>
      <c r="M1174">
        <f>IF(OR(L1174="",L1174=0),"",ROUND(100/L1174,0))</f>
        <v/>
      </c>
      <c r="N1174" t="inlineStr">
        <is>
          <t>low sample</t>
        </is>
      </c>
    </row>
    <row r="1175">
      <c r="A1175" t="n">
        <v>72</v>
      </c>
      <c r="B1175" t="inlineStr">
        <is>
          <t>Traitor's Graveyard</t>
        </is>
      </c>
      <c r="C1175" t="inlineStr">
        <is>
          <t>Imperfect Lightstone of Earth</t>
        </is>
      </c>
      <c r="D1175" t="n">
        <v>0.03439902</v>
      </c>
      <c r="E1175" t="n">
        <v>9953.6</v>
      </c>
      <c r="F1175" s="3" t="n">
        <v>0.003455937550233082</v>
      </c>
      <c r="G1175" t="n">
        <v>289357</v>
      </c>
      <c r="H1175" s="3" t="n">
        <v>9.780482988996553e-05</v>
      </c>
      <c r="I1175" s="3" t="n">
        <v>0.01719346398157191</v>
      </c>
      <c r="J1175" t="n">
        <v>1.2</v>
      </c>
      <c r="K1175">
        <f>IF(IFERROR(INDEX(Spots!$K$2:$K$96,MATCH(A1175,Spots!$A$2:$A$96,0)),"")="","",IFERROR(INDEX(Spots!$K$2:$K$96,MATCH(A1175,Spots!$A$2:$A$96,0)),""))</f>
        <v/>
      </c>
      <c r="L1175" s="3">
        <f>IF(OR(K1175="",F1175=""),"",F1175/1000*K1175*100)</f>
        <v/>
      </c>
      <c r="M1175">
        <f>IF(OR(L1175="",L1175=0),"",ROUND(100/L1175,0))</f>
        <v/>
      </c>
      <c r="N1175" t="inlineStr">
        <is>
          <t>low sample</t>
        </is>
      </c>
    </row>
    <row r="1176">
      <c r="A1176" t="n">
        <v>72</v>
      </c>
      <c r="B1176" t="inlineStr">
        <is>
          <t>Traitor's Graveyard</t>
        </is>
      </c>
      <c r="C1176" t="inlineStr">
        <is>
          <t>Any Artifact</t>
        </is>
      </c>
      <c r="D1176" t="n">
        <v>0.02109827</v>
      </c>
      <c r="E1176" t="n">
        <v>9953.6</v>
      </c>
      <c r="F1176" s="3" t="n">
        <v>0.002119662232760006</v>
      </c>
      <c r="G1176" t="n">
        <v>471773</v>
      </c>
      <c r="H1176" s="3" t="n">
        <v>1.044212830240212e-06</v>
      </c>
      <c r="I1176" s="3" t="n">
        <v>0.01485112939359029</v>
      </c>
      <c r="J1176" t="n">
        <v>0.7</v>
      </c>
      <c r="K1176">
        <f>IF(IFERROR(INDEX(Spots!$K$2:$K$96,MATCH(A1176,Spots!$A$2:$A$96,0)),"")="","",IFERROR(INDEX(Spots!$K$2:$K$96,MATCH(A1176,Spots!$A$2:$A$96,0)),""))</f>
        <v/>
      </c>
      <c r="L1176" s="3">
        <f>IF(OR(K1176="",F1176=""),"",F1176/1000*K1176*100)</f>
        <v/>
      </c>
      <c r="M1176">
        <f>IF(OR(L1176="",L1176=0),"",ROUND(100/L1176,0))</f>
        <v/>
      </c>
      <c r="N1176" t="inlineStr">
        <is>
          <t>low sample</t>
        </is>
      </c>
    </row>
    <row r="1177">
      <c r="A1177" t="n">
        <v>24</v>
      </c>
      <c r="B1177" t="inlineStr">
        <is>
          <t>Tshira Ruins</t>
        </is>
      </c>
      <c r="C1177" t="inlineStr">
        <is>
          <t>Mud Stained Branch</t>
        </is>
      </c>
      <c r="D1177" t="n">
        <v>144.8</v>
      </c>
      <c r="E1177" t="n">
        <v>5624.8</v>
      </c>
      <c r="F1177" s="3" t="n">
        <v>25.74313753377898</v>
      </c>
      <c r="G1177" t="n">
        <v>39</v>
      </c>
      <c r="H1177" s="3" t="n">
        <v>25.13966028796653</v>
      </c>
      <c r="I1177" s="3" t="n">
        <v>26.35744262875613</v>
      </c>
      <c r="J1177" t="n">
        <v>6909.4</v>
      </c>
      <c r="K1177">
        <f>IF(IFERROR(INDEX(Spots!$K$2:$K$96,MATCH(A1177,Spots!$A$2:$A$96,0)),"")="","",IFERROR(INDEX(Spots!$K$2:$K$96,MATCH(A1177,Spots!$A$2:$A$96,0)),""))</f>
        <v/>
      </c>
      <c r="L1177" s="3">
        <f>IF(OR(K1177="",F1177=""),"",F1177/1000*K1177*100)</f>
        <v/>
      </c>
      <c r="M1177">
        <f>IF(OR(L1177="",L1177=0),"",ROUND(100/L1177,0))</f>
        <v/>
      </c>
      <c r="N1177" t="inlineStr">
        <is>
          <t>low sample</t>
        </is>
      </c>
    </row>
    <row r="1178">
      <c r="A1178" t="n">
        <v>24</v>
      </c>
      <c r="B1178" t="inlineStr">
        <is>
          <t>Tshira Ruins</t>
        </is>
      </c>
      <c r="C1178" t="inlineStr">
        <is>
          <t>Ancient Spirit Dust</t>
        </is>
      </c>
      <c r="D1178" t="n">
        <v>19.279</v>
      </c>
      <c r="E1178" t="n">
        <v>5624.8</v>
      </c>
      <c r="F1178" s="3" t="n">
        <v>3.427499644431802</v>
      </c>
      <c r="G1178" t="n">
        <v>292</v>
      </c>
      <c r="H1178" s="3" t="n">
        <v>3.20955651291399</v>
      </c>
      <c r="I1178" s="3" t="n">
        <v>3.656346323369298</v>
      </c>
      <c r="J1178" t="n">
        <v>919.9</v>
      </c>
      <c r="K1178">
        <f>IF(IFERROR(INDEX(Spots!$K$2:$K$96,MATCH(A1178,Spots!$A$2:$A$96,0)),"")="","",IFERROR(INDEX(Spots!$K$2:$K$96,MATCH(A1178,Spots!$A$2:$A$96,0)),""))</f>
        <v/>
      </c>
      <c r="L1178" s="3">
        <f>IF(OR(K1178="",F1178=""),"",F1178/1000*K1178*100)</f>
        <v/>
      </c>
      <c r="M1178">
        <f>IF(OR(L1178="",L1178=0),"",ROUND(100/L1178,0))</f>
        <v/>
      </c>
      <c r="N1178" t="inlineStr">
        <is>
          <t>low sample</t>
        </is>
      </c>
    </row>
    <row r="1179">
      <c r="A1179" t="n">
        <v>24</v>
      </c>
      <c r="B1179" t="inlineStr">
        <is>
          <t>Tshira Ruins</t>
        </is>
      </c>
      <c r="C1179" t="inlineStr">
        <is>
          <t>Black Stone</t>
        </is>
      </c>
      <c r="D1179" t="n">
        <v>13.317</v>
      </c>
      <c r="E1179" t="n">
        <v>5624.8</v>
      </c>
      <c r="F1179" s="3" t="n">
        <v>2.367550846252311</v>
      </c>
      <c r="G1179" t="n">
        <v>422</v>
      </c>
      <c r="H1179" s="3" t="n">
        <v>2.187018022274306</v>
      </c>
      <c r="I1179" s="3" t="n">
        <v>2.559011282571555</v>
      </c>
      <c r="J1179" t="n">
        <v>635.4</v>
      </c>
      <c r="K1179">
        <f>IF(IFERROR(INDEX(Spots!$K$2:$K$96,MATCH(A1179,Spots!$A$2:$A$96,0)),"")="","",IFERROR(INDEX(Spots!$K$2:$K$96,MATCH(A1179,Spots!$A$2:$A$96,0)),""))</f>
        <v/>
      </c>
      <c r="L1179" s="3">
        <f>IF(OR(K1179="",F1179=""),"",F1179/1000*K1179*100)</f>
        <v/>
      </c>
      <c r="M1179">
        <f>IF(OR(L1179="",L1179=0),"",ROUND(100/L1179,0))</f>
        <v/>
      </c>
      <c r="N1179" t="inlineStr">
        <is>
          <t>low sample</t>
        </is>
      </c>
    </row>
    <row r="1180">
      <c r="A1180" t="n">
        <v>24</v>
      </c>
      <c r="B1180" t="inlineStr">
        <is>
          <t>Tshira Ruins</t>
        </is>
      </c>
      <c r="C1180" t="inlineStr">
        <is>
          <t>Caphras Stone</t>
        </is>
      </c>
      <c r="D1180" t="n">
        <v>9.767576</v>
      </c>
      <c r="E1180" t="n">
        <v>5624.8</v>
      </c>
      <c r="F1180" s="3" t="n">
        <v>1.736519698478168</v>
      </c>
      <c r="G1180" t="n">
        <v>576</v>
      </c>
      <c r="H1180" s="3" t="n">
        <v>1.582420142775043</v>
      </c>
      <c r="I1180" s="3" t="n">
        <v>1.901570678454442</v>
      </c>
      <c r="J1180" t="n">
        <v>466.1</v>
      </c>
      <c r="K1180">
        <f>IF(IFERROR(INDEX(Spots!$K$2:$K$96,MATCH(A1180,Spots!$A$2:$A$96,0)),"")="","",IFERROR(INDEX(Spots!$K$2:$K$96,MATCH(A1180,Spots!$A$2:$A$96,0)),""))</f>
        <v/>
      </c>
      <c r="L1180" s="3">
        <f>IF(OR(K1180="",F1180=""),"",F1180/1000*K1180*100)</f>
        <v/>
      </c>
      <c r="M1180">
        <f>IF(OR(L1180="",L1180=0),"",ROUND(100/L1180,0))</f>
        <v/>
      </c>
      <c r="N1180" t="inlineStr">
        <is>
          <t>low sample</t>
        </is>
      </c>
    </row>
    <row r="1181">
      <c r="A1181" t="n">
        <v>24</v>
      </c>
      <c r="B1181" t="inlineStr">
        <is>
          <t>Tshira Ruins</t>
        </is>
      </c>
      <c r="C1181" t="inlineStr">
        <is>
          <t>Dragon Scale Fossil</t>
        </is>
      </c>
      <c r="D1181" t="n">
        <v>7.970093</v>
      </c>
      <c r="E1181" t="n">
        <v>5624.8</v>
      </c>
      <c r="F1181" s="3" t="n">
        <v>1.416955802872991</v>
      </c>
      <c r="G1181" t="n">
        <v>706</v>
      </c>
      <c r="H1181" s="3" t="n">
        <v>1.278102111748567</v>
      </c>
      <c r="I1181" s="3" t="n">
        <v>1.566778620638373</v>
      </c>
      <c r="J1181" t="n">
        <v>380.3</v>
      </c>
      <c r="K1181">
        <f>IF(IFERROR(INDEX(Spots!$K$2:$K$96,MATCH(A1181,Spots!$A$2:$A$96,0)),"")="","",IFERROR(INDEX(Spots!$K$2:$K$96,MATCH(A1181,Spots!$A$2:$A$96,0)),""))</f>
        <v/>
      </c>
      <c r="L1181" s="3">
        <f>IF(OR(K1181="",F1181=""),"",F1181/1000*K1181*100)</f>
        <v/>
      </c>
      <c r="M1181">
        <f>IF(OR(L1181="",L1181=0),"",ROUND(100/L1181,0))</f>
        <v/>
      </c>
      <c r="N1181" t="inlineStr">
        <is>
          <t>low sample</t>
        </is>
      </c>
    </row>
    <row r="1182">
      <c r="A1182" t="n">
        <v>24</v>
      </c>
      <c r="B1182" t="inlineStr">
        <is>
          <t>Tshira Ruins</t>
        </is>
      </c>
      <c r="C1182" t="inlineStr">
        <is>
          <t>Trace of Nature</t>
        </is>
      </c>
      <c r="D1182" t="n">
        <v>3.343697</v>
      </c>
      <c r="E1182" t="n">
        <v>5624.8</v>
      </c>
      <c r="F1182" s="3" t="n">
        <v>0.594456158441189</v>
      </c>
      <c r="G1182" t="n">
        <v>1682</v>
      </c>
      <c r="H1182" s="3" t="n">
        <v>0.5057872562814817</v>
      </c>
      <c r="I1182" s="3" t="n">
        <v>0.6941929575527535</v>
      </c>
      <c r="J1182" t="n">
        <v>159.6</v>
      </c>
      <c r="K1182">
        <f>IF(IFERROR(INDEX(Spots!$K$2:$K$96,MATCH(A1182,Spots!$A$2:$A$96,0)),"")="","",IFERROR(INDEX(Spots!$K$2:$K$96,MATCH(A1182,Spots!$A$2:$A$96,0)),""))</f>
        <v/>
      </c>
      <c r="L1182" s="3">
        <f>IF(OR(K1182="",F1182=""),"",F1182/1000*K1182*100)</f>
        <v/>
      </c>
      <c r="M1182">
        <f>IF(OR(L1182="",L1182=0),"",ROUND(100/L1182,0))</f>
        <v/>
      </c>
      <c r="N1182" t="inlineStr">
        <is>
          <t>low sample</t>
        </is>
      </c>
    </row>
    <row r="1183">
      <c r="A1183" t="n">
        <v>24</v>
      </c>
      <c r="B1183" t="inlineStr">
        <is>
          <t>Tshira Ruins</t>
        </is>
      </c>
      <c r="C1183" t="inlineStr">
        <is>
          <t>Garmoth's Scale</t>
        </is>
      </c>
      <c r="D1183" t="n">
        <v>3.055797</v>
      </c>
      <c r="E1183" t="n">
        <v>5624.8</v>
      </c>
      <c r="F1183" s="3" t="n">
        <v>0.5432721163419144</v>
      </c>
      <c r="G1183" t="n">
        <v>1841</v>
      </c>
      <c r="H1183" s="3" t="n">
        <v>0.4586655876883577</v>
      </c>
      <c r="I1183" s="3" t="n">
        <v>0.6389593480416563</v>
      </c>
      <c r="J1183" t="n">
        <v>145.8</v>
      </c>
      <c r="K1183">
        <f>IF(IFERROR(INDEX(Spots!$K$2:$K$96,MATCH(A1183,Spots!$A$2:$A$96,0)),"")="","",IFERROR(INDEX(Spots!$K$2:$K$96,MATCH(A1183,Spots!$A$2:$A$96,0)),""))</f>
        <v/>
      </c>
      <c r="L1183" s="3">
        <f>IF(OR(K1183="",F1183=""),"",F1183/1000*K1183*100)</f>
        <v/>
      </c>
      <c r="M1183">
        <f>IF(OR(L1183="",L1183=0),"",ROUND(100/L1183,0))</f>
        <v/>
      </c>
      <c r="N1183" t="inlineStr">
        <is>
          <t>low sample</t>
        </is>
      </c>
    </row>
    <row r="1184">
      <c r="A1184" t="n">
        <v>24</v>
      </c>
      <c r="B1184" t="inlineStr">
        <is>
          <t>Tshira Ruins</t>
        </is>
      </c>
      <c r="C1184" t="inlineStr">
        <is>
          <t>Katzvariak's Venom</t>
        </is>
      </c>
      <c r="D1184" t="n">
        <v>1.256385</v>
      </c>
      <c r="E1184" t="n">
        <v>5624.8</v>
      </c>
      <c r="F1184" s="3" t="n">
        <v>0.2233652752097852</v>
      </c>
      <c r="G1184" t="n">
        <v>4477</v>
      </c>
      <c r="H1184" s="3" t="n">
        <v>0.1704205002467447</v>
      </c>
      <c r="I1184" s="3" t="n">
        <v>0.2875513529370141</v>
      </c>
      <c r="J1184" t="n">
        <v>60</v>
      </c>
      <c r="K1184">
        <f>IF(IFERROR(INDEX(Spots!$K$2:$K$96,MATCH(A1184,Spots!$A$2:$A$96,0)),"")="","",IFERROR(INDEX(Spots!$K$2:$K$96,MATCH(A1184,Spots!$A$2:$A$96,0)),""))</f>
        <v/>
      </c>
      <c r="L1184" s="3">
        <f>IF(OR(K1184="",F1184=""),"",F1184/1000*K1184*100)</f>
        <v/>
      </c>
      <c r="M1184">
        <f>IF(OR(L1184="",L1184=0),"",ROUND(100/L1184,0))</f>
        <v/>
      </c>
      <c r="N1184" t="inlineStr">
        <is>
          <t>low sample</t>
        </is>
      </c>
    </row>
    <row r="1185">
      <c r="A1185" t="n">
        <v>24</v>
      </c>
      <c r="B1185" t="inlineStr">
        <is>
          <t>Tshira Ruins</t>
        </is>
      </c>
      <c r="C1185" t="inlineStr">
        <is>
          <t>Mass of Pure Magic</t>
        </is>
      </c>
      <c r="D1185" t="n">
        <v>0.8788732500000001</v>
      </c>
      <c r="E1185" t="n">
        <v>5624.8</v>
      </c>
      <c r="F1185" s="3" t="n">
        <v>0.1562496888778268</v>
      </c>
      <c r="G1185" t="n">
        <v>6400</v>
      </c>
      <c r="H1185" s="3" t="n">
        <v>0.1125684110696745</v>
      </c>
      <c r="I1185" s="3" t="n">
        <v>0.2112580711107189</v>
      </c>
      <c r="J1185" t="n">
        <v>41.9</v>
      </c>
      <c r="K1185">
        <f>IF(IFERROR(INDEX(Spots!$K$2:$K$96,MATCH(A1185,Spots!$A$2:$A$96,0)),"")="","",IFERROR(INDEX(Spots!$K$2:$K$96,MATCH(A1185,Spots!$A$2:$A$96,0)),""))</f>
        <v/>
      </c>
      <c r="L1185" s="3">
        <f>IF(OR(K1185="",F1185=""),"",F1185/1000*K1185*100)</f>
        <v/>
      </c>
      <c r="M1185">
        <f>IF(OR(L1185="",L1185=0),"",ROUND(100/L1185,0))</f>
        <v/>
      </c>
      <c r="N1185" t="inlineStr">
        <is>
          <t>low sample</t>
        </is>
      </c>
    </row>
    <row r="1186">
      <c r="A1186" t="n">
        <v>24</v>
      </c>
      <c r="B1186" t="inlineStr">
        <is>
          <t>Tshira Ruins</t>
        </is>
      </c>
      <c r="C1186" t="inlineStr">
        <is>
          <t>Seleth Main Weapon Box</t>
        </is>
      </c>
      <c r="D1186" t="n">
        <v>0.8485682</v>
      </c>
      <c r="E1186" t="n">
        <v>5624.8</v>
      </c>
      <c r="F1186" s="3" t="n">
        <v>0.1508619328687242</v>
      </c>
      <c r="G1186" t="n">
        <v>6629</v>
      </c>
      <c r="H1186" s="3" t="n">
        <v>0.1080043854599637</v>
      </c>
      <c r="I1186" s="3" t="n">
        <v>0.2050557891579035</v>
      </c>
      <c r="J1186" t="n">
        <v>40.5</v>
      </c>
      <c r="K1186">
        <f>IF(IFERROR(INDEX(Spots!$K$2:$K$96,MATCH(A1186,Spots!$A$2:$A$96,0)),"")="","",IFERROR(INDEX(Spots!$K$2:$K$96,MATCH(A1186,Spots!$A$2:$A$96,0)),""))</f>
        <v/>
      </c>
      <c r="L1186" s="3">
        <f>IF(OR(K1186="",F1186=""),"",F1186/1000*K1186*100)</f>
        <v/>
      </c>
      <c r="M1186">
        <f>IF(OR(L1186="",L1186=0),"",ROUND(100/L1186,0))</f>
        <v/>
      </c>
      <c r="N1186" t="inlineStr">
        <is>
          <t>low sample</t>
        </is>
      </c>
    </row>
    <row r="1187">
      <c r="A1187" t="n">
        <v>24</v>
      </c>
      <c r="B1187" t="inlineStr">
        <is>
          <t>Tshira Ruins</t>
        </is>
      </c>
      <c r="C1187" t="inlineStr">
        <is>
          <t>Kalis Main Weapon Box</t>
        </is>
      </c>
      <c r="D1187" t="n">
        <v>0.80090944</v>
      </c>
      <c r="E1187" t="n">
        <v>5624.8</v>
      </c>
      <c r="F1187" s="3" t="n">
        <v>0.1423889631631347</v>
      </c>
      <c r="G1187" t="n">
        <v>7023</v>
      </c>
      <c r="H1187" s="3" t="n">
        <v>0.1008572714076718</v>
      </c>
      <c r="I1187" s="3" t="n">
        <v>0.1952724479438554</v>
      </c>
      <c r="J1187" t="n">
        <v>38.2</v>
      </c>
      <c r="K1187">
        <f>IF(IFERROR(INDEX(Spots!$K$2:$K$96,MATCH(A1187,Spots!$A$2:$A$96,0)),"")="","",IFERROR(INDEX(Spots!$K$2:$K$96,MATCH(A1187,Spots!$A$2:$A$96,0)),""))</f>
        <v/>
      </c>
      <c r="L1187" s="3">
        <f>IF(OR(K1187="",F1187=""),"",F1187/1000*K1187*100)</f>
        <v/>
      </c>
      <c r="M1187">
        <f>IF(OR(L1187="",L1187=0),"",ROUND(100/L1187,0))</f>
        <v/>
      </c>
      <c r="N1187" t="inlineStr">
        <is>
          <t>low sample</t>
        </is>
      </c>
    </row>
    <row r="1188">
      <c r="A1188" t="n">
        <v>24</v>
      </c>
      <c r="B1188" t="inlineStr">
        <is>
          <t>Tshira Ruins</t>
        </is>
      </c>
      <c r="C1188" t="inlineStr">
        <is>
          <t>Imperfect Lightstone of Wind</t>
        </is>
      </c>
      <c r="D1188" t="n">
        <v>0.4391776</v>
      </c>
      <c r="E1188" t="n">
        <v>5624.8</v>
      </c>
      <c r="F1188" s="3" t="n">
        <v>0.07807879391267246</v>
      </c>
      <c r="G1188" t="n">
        <v>12808</v>
      </c>
      <c r="H1188" s="3" t="n">
        <v>0.04828594003117621</v>
      </c>
      <c r="I1188" s="3" t="n">
        <v>0.1194102868668948</v>
      </c>
      <c r="J1188" t="n">
        <v>21</v>
      </c>
      <c r="K1188">
        <f>IF(IFERROR(INDEX(Spots!$K$2:$K$96,MATCH(A1188,Spots!$A$2:$A$96,0)),"")="","",IFERROR(INDEX(Spots!$K$2:$K$96,MATCH(A1188,Spots!$A$2:$A$96,0)),""))</f>
        <v/>
      </c>
      <c r="L1188" s="3">
        <f>IF(OR(K1188="",F1188=""),"",F1188/1000*K1188*100)</f>
        <v/>
      </c>
      <c r="M1188">
        <f>IF(OR(L1188="",L1188=0),"",ROUND(100/L1188,0))</f>
        <v/>
      </c>
      <c r="N1188" t="inlineStr">
        <is>
          <t>low sample</t>
        </is>
      </c>
    </row>
    <row r="1189">
      <c r="A1189" t="n">
        <v>24</v>
      </c>
      <c r="B1189" t="inlineStr">
        <is>
          <t>Tshira Ruins</t>
        </is>
      </c>
      <c r="C1189" t="inlineStr">
        <is>
          <t>Eye of the Ruins Ring</t>
        </is>
      </c>
      <c r="D1189" t="n">
        <v>0.25405959</v>
      </c>
      <c r="E1189" t="n">
        <v>5624.8</v>
      </c>
      <c r="F1189" s="3" t="n">
        <v>0.04516775529796615</v>
      </c>
      <c r="G1189" t="n">
        <v>22140</v>
      </c>
      <c r="H1189" s="3" t="n">
        <v>0.02340379290246408</v>
      </c>
      <c r="I1189" s="3" t="n">
        <v>0.07868764874877503</v>
      </c>
      <c r="J1189" t="n">
        <v>12.1</v>
      </c>
      <c r="K1189">
        <f>IF(IFERROR(INDEX(Spots!$K$2:$K$96,MATCH(A1189,Spots!$A$2:$A$96,0)),"")="","",IFERROR(INDEX(Spots!$K$2:$K$96,MATCH(A1189,Spots!$A$2:$A$96,0)),""))</f>
        <v/>
      </c>
      <c r="L1189" s="3">
        <f>IF(OR(K1189="",F1189=""),"",F1189/1000*K1189*100)</f>
        <v/>
      </c>
      <c r="M1189">
        <f>IF(OR(L1189="",L1189=0),"",ROUND(100/L1189,0))</f>
        <v/>
      </c>
      <c r="N1189" t="inlineStr">
        <is>
          <t>low sample</t>
        </is>
      </c>
    </row>
    <row r="1190">
      <c r="A1190" t="n">
        <v>24</v>
      </c>
      <c r="B1190" t="inlineStr">
        <is>
          <t>Tshira Ruins</t>
        </is>
      </c>
      <c r="C1190" t="inlineStr">
        <is>
          <t>Combined Magic Crystal - Gervish</t>
        </is>
      </c>
      <c r="D1190" t="n">
        <v>0.14126701</v>
      </c>
      <c r="E1190" t="n">
        <v>5624.8</v>
      </c>
      <c r="F1190" s="3" t="n">
        <v>0.02511502808988764</v>
      </c>
      <c r="G1190" t="n">
        <v>39817</v>
      </c>
      <c r="H1190" s="3" t="n">
        <v>0.009845721766205354</v>
      </c>
      <c r="I1190" s="3" t="n">
        <v>0.05243114137221647</v>
      </c>
      <c r="J1190" t="n">
        <v>6.7</v>
      </c>
      <c r="K1190">
        <f>IF(IFERROR(INDEX(Spots!$K$2:$K$96,MATCH(A1190,Spots!$A$2:$A$96,0)),"")="","",IFERROR(INDEX(Spots!$K$2:$K$96,MATCH(A1190,Spots!$A$2:$A$96,0)),""))</f>
        <v/>
      </c>
      <c r="L1190" s="3">
        <f>IF(OR(K1190="",F1190=""),"",F1190/1000*K1190*100)</f>
        <v/>
      </c>
      <c r="M1190">
        <f>IF(OR(L1190="",L1190=0),"",ROUND(100/L1190,0))</f>
        <v/>
      </c>
      <c r="N1190" t="inlineStr">
        <is>
          <t>low sample</t>
        </is>
      </c>
    </row>
    <row r="1191">
      <c r="A1191" t="n">
        <v>24</v>
      </c>
      <c r="B1191" t="inlineStr">
        <is>
          <t>Tshira Ruins</t>
        </is>
      </c>
      <c r="C1191" t="inlineStr">
        <is>
          <t>Combined Magic Crystal - Macalod</t>
        </is>
      </c>
      <c r="D1191" t="n">
        <v>0.0881049</v>
      </c>
      <c r="E1191" t="n">
        <v>5624.8</v>
      </c>
      <c r="F1191" s="3" t="n">
        <v>0.01566365026312046</v>
      </c>
      <c r="G1191" t="n">
        <v>63842</v>
      </c>
      <c r="H1191" s="3" t="n">
        <v>0.004400273124858088</v>
      </c>
      <c r="I1191" s="3" t="n">
        <v>0.03925379795332024</v>
      </c>
      <c r="J1191" t="n">
        <v>4.2</v>
      </c>
      <c r="K1191">
        <f>IF(IFERROR(INDEX(Spots!$K$2:$K$96,MATCH(A1191,Spots!$A$2:$A$96,0)),"")="","",IFERROR(INDEX(Spots!$K$2:$K$96,MATCH(A1191,Spots!$A$2:$A$96,0)),""))</f>
        <v/>
      </c>
      <c r="L1191" s="3">
        <f>IF(OR(K1191="",F1191=""),"",F1191/1000*K1191*100)</f>
        <v/>
      </c>
      <c r="M1191">
        <f>IF(OR(L1191="",L1191=0),"",ROUND(100/L1191,0))</f>
        <v/>
      </c>
      <c r="N1191" t="inlineStr">
        <is>
          <t>low sample</t>
        </is>
      </c>
    </row>
    <row r="1192">
      <c r="A1192" t="n">
        <v>24</v>
      </c>
      <c r="B1192" t="inlineStr">
        <is>
          <t>Tshira Ruins</t>
        </is>
      </c>
      <c r="C1192" t="inlineStr">
        <is>
          <t>Imperfect Lightstone of Earth</t>
        </is>
      </c>
      <c r="D1192" t="n">
        <v>0.05103223</v>
      </c>
      <c r="E1192" t="n">
        <v>5624.8</v>
      </c>
      <c r="F1192" s="3" t="n">
        <v>0.009072719030009955</v>
      </c>
      <c r="G1192" t="n">
        <v>110221</v>
      </c>
      <c r="H1192" s="3" t="n">
        <v>0.001394733062881945</v>
      </c>
      <c r="I1192" s="3" t="n">
        <v>0.02944692509559054</v>
      </c>
      <c r="J1192" t="n">
        <v>2.4</v>
      </c>
      <c r="K1192">
        <f>IF(IFERROR(INDEX(Spots!$K$2:$K$96,MATCH(A1192,Spots!$A$2:$A$96,0)),"")="","",IFERROR(INDEX(Spots!$K$2:$K$96,MATCH(A1192,Spots!$A$2:$A$96,0)),""))</f>
        <v/>
      </c>
      <c r="L1192" s="3">
        <f>IF(OR(K1192="",F1192=""),"",F1192/1000*K1192*100)</f>
        <v/>
      </c>
      <c r="M1192">
        <f>IF(OR(L1192="",L1192=0),"",ROUND(100/L1192,0))</f>
        <v/>
      </c>
      <c r="N1192" t="inlineStr">
        <is>
          <t>low sample</t>
        </is>
      </c>
    </row>
    <row r="1193">
      <c r="A1193" t="n">
        <v>24</v>
      </c>
      <c r="B1193" t="inlineStr">
        <is>
          <t>Tshira Ruins</t>
        </is>
      </c>
      <c r="C1193" t="inlineStr">
        <is>
          <t>Any Artifact</t>
        </is>
      </c>
      <c r="D1193" t="n">
        <v>0.04799363</v>
      </c>
      <c r="E1193" t="n">
        <v>5624.8</v>
      </c>
      <c r="F1193" s="3" t="n">
        <v>0.008532504266818376</v>
      </c>
      <c r="G1193" t="n">
        <v>117199</v>
      </c>
      <c r="H1193" s="3" t="n">
        <v>0.00119805121286167</v>
      </c>
      <c r="I1193" s="3" t="n">
        <v>0.02860699895670492</v>
      </c>
      <c r="J1193" t="n">
        <v>2.3</v>
      </c>
      <c r="K1193">
        <f>IF(IFERROR(INDEX(Spots!$K$2:$K$96,MATCH(A1193,Spots!$A$2:$A$96,0)),"")="","",IFERROR(INDEX(Spots!$K$2:$K$96,MATCH(A1193,Spots!$A$2:$A$96,0)),""))</f>
        <v/>
      </c>
      <c r="L1193" s="3">
        <f>IF(OR(K1193="",F1193=""),"",F1193/1000*K1193*100)</f>
        <v/>
      </c>
      <c r="M1193">
        <f>IF(OR(L1193="",L1193=0),"",ROUND(100/L1193,0))</f>
        <v/>
      </c>
      <c r="N1193" t="inlineStr">
        <is>
          <t>low sample</t>
        </is>
      </c>
    </row>
    <row r="1194">
      <c r="A1194" t="n">
        <v>24</v>
      </c>
      <c r="B1194" t="inlineStr">
        <is>
          <t>Tshira Ruins</t>
        </is>
      </c>
      <c r="C1194" t="inlineStr">
        <is>
          <t>Imperfect Lightstone of Fire</t>
        </is>
      </c>
      <c r="D1194" t="n">
        <v>0.02506887</v>
      </c>
      <c r="E1194" t="n">
        <v>5624.8</v>
      </c>
      <c r="F1194" s="3" t="n">
        <v>0.004456846465652112</v>
      </c>
      <c r="G1194" t="n">
        <v>224374</v>
      </c>
      <c r="H1194" s="3" t="n">
        <v>0.0001324640414086932</v>
      </c>
      <c r="I1194" s="3" t="n">
        <v>0.02198814059081751</v>
      </c>
      <c r="J1194" t="n">
        <v>1.2</v>
      </c>
      <c r="K1194">
        <f>IF(IFERROR(INDEX(Spots!$K$2:$K$96,MATCH(A1194,Spots!$A$2:$A$96,0)),"")="","",IFERROR(INDEX(Spots!$K$2:$K$96,MATCH(A1194,Spots!$A$2:$A$96,0)),""))</f>
        <v/>
      </c>
      <c r="L1194" s="3">
        <f>IF(OR(K1194="",F1194=""),"",F1194/1000*K1194*100)</f>
        <v/>
      </c>
      <c r="M1194">
        <f>IF(OR(L1194="",L1194=0),"",ROUND(100/L1194,0))</f>
        <v/>
      </c>
      <c r="N1194" t="inlineStr">
        <is>
          <t>low sample</t>
        </is>
      </c>
    </row>
    <row r="1195">
      <c r="A1195" t="n">
        <v>24</v>
      </c>
      <c r="B1195" t="inlineStr">
        <is>
          <t>Tshira Ruins</t>
        </is>
      </c>
      <c r="C1195" t="inlineStr">
        <is>
          <t>Specter's Energy</t>
        </is>
      </c>
      <c r="D1195" t="n">
        <v>0.01957356</v>
      </c>
      <c r="E1195" t="n">
        <v>5624.8</v>
      </c>
      <c r="F1195" s="3" t="n">
        <v>0.003479867728630351</v>
      </c>
      <c r="G1195" t="n">
        <v>287367</v>
      </c>
      <c r="H1195" s="3" t="n">
        <v>2.998264529330149e-05</v>
      </c>
      <c r="I1195" s="3" t="n">
        <v>0.02030001872243101</v>
      </c>
      <c r="J1195" t="n">
        <v>0.9</v>
      </c>
      <c r="K1195">
        <f>IF(IFERROR(INDEX(Spots!$K$2:$K$96,MATCH(A1195,Spots!$A$2:$A$96,0)),"")="","",IFERROR(INDEX(Spots!$K$2:$K$96,MATCH(A1195,Spots!$A$2:$A$96,0)),""))</f>
        <v/>
      </c>
      <c r="L1195" s="3">
        <f>IF(OR(K1195="",F1195=""),"",F1195/1000*K1195*100)</f>
        <v/>
      </c>
      <c r="M1195">
        <f>IF(OR(L1195="",L1195=0),"",ROUND(100/L1195,0))</f>
        <v/>
      </c>
      <c r="N1195" t="inlineStr">
        <is>
          <t>low sample</t>
        </is>
      </c>
    </row>
    <row r="1196">
      <c r="A1196" t="n">
        <v>24</v>
      </c>
      <c r="B1196" t="inlineStr">
        <is>
          <t>Tshira Ruins</t>
        </is>
      </c>
      <c r="C1196" t="inlineStr">
        <is>
          <t>Combined Magic Crystal - Hoom</t>
        </is>
      </c>
      <c r="D1196" t="n">
        <v>0.01343382</v>
      </c>
      <c r="E1196" t="n">
        <v>5624.8</v>
      </c>
      <c r="F1196" s="3" t="n">
        <v>0.002388319584696345</v>
      </c>
      <c r="G1196" t="n">
        <v>418704</v>
      </c>
      <c r="H1196" s="3" t="n">
        <v>2.881605794269356e-09</v>
      </c>
      <c r="I1196" s="3" t="n">
        <v>0.01834439821069201</v>
      </c>
      <c r="J1196" t="n">
        <v>0.6</v>
      </c>
      <c r="K1196">
        <f>IF(IFERROR(INDEX(Spots!$K$2:$K$96,MATCH(A1196,Spots!$A$2:$A$96,0)),"")="","",IFERROR(INDEX(Spots!$K$2:$K$96,MATCH(A1196,Spots!$A$2:$A$96,0)),""))</f>
        <v/>
      </c>
      <c r="L1196" s="3">
        <f>IF(OR(K1196="",F1196=""),"",F1196/1000*K1196*100)</f>
        <v/>
      </c>
      <c r="M1196">
        <f>IF(OR(L1196="",L1196=0),"",ROUND(100/L1196,0))</f>
        <v/>
      </c>
      <c r="N1196" t="inlineStr">
        <is>
          <t>low sample</t>
        </is>
      </c>
    </row>
    <row r="1197">
      <c r="A1197" t="n">
        <v>24</v>
      </c>
      <c r="B1197" t="inlineStr">
        <is>
          <t>Tshira Ruins</t>
        </is>
      </c>
      <c r="C1197" t="inlineStr">
        <is>
          <t>Ancient Markthanan's Gland</t>
        </is>
      </c>
      <c r="D1197" t="n">
        <v>0.0082752</v>
      </c>
      <c r="E1197" t="n">
        <v>5624.8</v>
      </c>
      <c r="F1197" s="3" t="n">
        <v>0.00147119897596359</v>
      </c>
      <c r="G1197" t="n">
        <v>679718</v>
      </c>
      <c r="H1197" s="3" t="n">
        <v>0</v>
      </c>
      <c r="I1197" s="3" t="n">
        <v>0.01662754246800156</v>
      </c>
      <c r="J1197" t="n">
        <v>0.4</v>
      </c>
      <c r="K1197">
        <f>IF(IFERROR(INDEX(Spots!$K$2:$K$96,MATCH(A1197,Spots!$A$2:$A$96,0)),"")="","",IFERROR(INDEX(Spots!$K$2:$K$96,MATCH(A1197,Spots!$A$2:$A$96,0)),""))</f>
        <v/>
      </c>
      <c r="L1197" s="3">
        <f>IF(OR(K1197="",F1197=""),"",F1197/1000*K1197*100)</f>
        <v/>
      </c>
      <c r="M1197">
        <f>IF(OR(L1197="",L1197=0),"",ROUND(100/L1197,0))</f>
        <v/>
      </c>
      <c r="N1197" t="inlineStr">
        <is>
          <t>low sample</t>
        </is>
      </c>
    </row>
    <row r="1198">
      <c r="A1198" t="n">
        <v>24</v>
      </c>
      <c r="B1198" t="inlineStr">
        <is>
          <t>Tshira Ruins</t>
        </is>
      </c>
      <c r="C1198" t="inlineStr">
        <is>
          <t>Great Marni's Stone (Tshira Ruins)</t>
        </is>
      </c>
      <c r="D1198" t="n">
        <v>0</v>
      </c>
      <c r="E1198" t="n">
        <v>5624.8</v>
      </c>
      <c r="F1198" s="3" t="n">
        <v>0</v>
      </c>
      <c r="H1198" s="3" t="n">
        <v>0</v>
      </c>
      <c r="I1198" s="3" t="n">
        <v>0.01374457997572051</v>
      </c>
      <c r="J1198" t="n">
        <v>0</v>
      </c>
      <c r="K1198">
        <f>IF(IFERROR(INDEX(Spots!$K$2:$K$96,MATCH(A1198,Spots!$A$2:$A$96,0)),"")="","",IFERROR(INDEX(Spots!$K$2:$K$96,MATCH(A1198,Spots!$A$2:$A$96,0)),""))</f>
        <v/>
      </c>
      <c r="L1198" s="3">
        <f>IF(OR(K1198="",F1198=""),"",F1198/1000*K1198*100)</f>
        <v/>
      </c>
      <c r="M1198">
        <f>IF(OR(L1198="",L1198=0),"",ROUND(100/L1198,0))</f>
        <v/>
      </c>
      <c r="N1198" t="inlineStr">
        <is>
          <t>no drops recorded</t>
        </is>
      </c>
    </row>
    <row r="1199">
      <c r="A1199" t="n">
        <v>148</v>
      </c>
      <c r="B1199" t="inlineStr">
        <is>
          <t>Tungrad Ruins</t>
        </is>
      </c>
      <c r="C1199" t="inlineStr">
        <is>
          <t>Ancient Spirit Dust</t>
        </is>
      </c>
      <c r="D1199" t="n">
        <v>91.099</v>
      </c>
      <c r="E1199" t="n">
        <v>14309</v>
      </c>
      <c r="F1199" s="3" t="n">
        <v>6.366552519393388</v>
      </c>
      <c r="G1199" t="n">
        <v>157</v>
      </c>
      <c r="H1199" s="3" t="n">
        <v>6.36080865027875</v>
      </c>
      <c r="I1199" s="3" t="n">
        <v>6.372300295226674</v>
      </c>
      <c r="J1199" t="n">
        <v>4717570.8</v>
      </c>
      <c r="K1199">
        <f>IF(IFERROR(INDEX(Spots!$K$2:$K$96,MATCH(A1199,Spots!$A$2:$A$96,0)),"")="","",IFERROR(INDEX(Spots!$K$2:$K$96,MATCH(A1199,Spots!$A$2:$A$96,0)),""))</f>
        <v/>
      </c>
      <c r="L1199" s="3">
        <f>IF(OR(K1199="",F1199=""),"",F1199/1000*K1199*100)</f>
        <v/>
      </c>
      <c r="M1199">
        <f>IF(OR(L1199="",L1199=0),"",ROUND(100/L1199,0))</f>
        <v/>
      </c>
      <c r="N1199" t="inlineStr"/>
    </row>
    <row r="1200">
      <c r="A1200" t="n">
        <v>148</v>
      </c>
      <c r="B1200" t="inlineStr">
        <is>
          <t>Tungrad Ruins</t>
        </is>
      </c>
      <c r="C1200" t="inlineStr">
        <is>
          <t>Black Stone</t>
        </is>
      </c>
      <c r="D1200" t="n">
        <v>55.311</v>
      </c>
      <c r="E1200" t="n">
        <v>14309</v>
      </c>
      <c r="F1200" s="3" t="n">
        <v>3.865469285065343</v>
      </c>
      <c r="G1200" t="n">
        <v>259</v>
      </c>
      <c r="H1200" s="3" t="n">
        <v>3.860993944478816</v>
      </c>
      <c r="I1200" s="3" t="n">
        <v>3.869948532543023</v>
      </c>
      <c r="J1200" t="n">
        <v>2864285.7</v>
      </c>
      <c r="K1200">
        <f>IF(IFERROR(INDEX(Spots!$K$2:$K$96,MATCH(A1200,Spots!$A$2:$A$96,0)),"")="","",IFERROR(INDEX(Spots!$K$2:$K$96,MATCH(A1200,Spots!$A$2:$A$96,0)),""))</f>
        <v/>
      </c>
      <c r="L1200" s="3">
        <f>IF(OR(K1200="",F1200=""),"",F1200/1000*K1200*100)</f>
        <v/>
      </c>
      <c r="M1200">
        <f>IF(OR(L1200="",L1200=0),"",ROUND(100/L1200,0))</f>
        <v/>
      </c>
      <c r="N1200" t="inlineStr"/>
    </row>
    <row r="1201">
      <c r="A1201" t="n">
        <v>148</v>
      </c>
      <c r="B1201" t="inlineStr">
        <is>
          <t>Tungrad Ruins</t>
        </is>
      </c>
      <c r="C1201" t="inlineStr">
        <is>
          <t>Trace of Nature</t>
        </is>
      </c>
      <c r="D1201" t="n">
        <v>12.599</v>
      </c>
      <c r="E1201" t="n">
        <v>14309</v>
      </c>
      <c r="F1201" s="3" t="n">
        <v>0.8804947934866169</v>
      </c>
      <c r="G1201" t="n">
        <v>1136</v>
      </c>
      <c r="H1201" s="3" t="n">
        <v>0.878359525204503</v>
      </c>
      <c r="I1201" s="3" t="n">
        <v>0.8826339695154408</v>
      </c>
      <c r="J1201" t="n">
        <v>652440.5</v>
      </c>
      <c r="K1201">
        <f>IF(IFERROR(INDEX(Spots!$K$2:$K$96,MATCH(A1201,Spots!$A$2:$A$96,0)),"")="","",IFERROR(INDEX(Spots!$K$2:$K$96,MATCH(A1201,Spots!$A$2:$A$96,0)),""))</f>
        <v/>
      </c>
      <c r="L1201" s="3">
        <f>IF(OR(K1201="",F1201=""),"",F1201/1000*K1201*100)</f>
        <v/>
      </c>
      <c r="M1201">
        <f>IF(OR(L1201="",L1201=0),"",ROUND(100/L1201,0))</f>
        <v/>
      </c>
      <c r="N1201" t="inlineStr"/>
    </row>
    <row r="1202">
      <c r="A1202" t="n">
        <v>148</v>
      </c>
      <c r="B1202" t="inlineStr">
        <is>
          <t>Tungrad Ruins</t>
        </is>
      </c>
      <c r="C1202" t="inlineStr">
        <is>
          <t>Sealed Black Magic Crystal</t>
        </is>
      </c>
      <c r="D1202" t="n">
        <v>12.19</v>
      </c>
      <c r="E1202" t="n">
        <v>14309</v>
      </c>
      <c r="F1202" s="3" t="n">
        <v>0.8519113844433572</v>
      </c>
      <c r="G1202" t="n">
        <v>1174</v>
      </c>
      <c r="H1202" s="3" t="n">
        <v>0.8498110815223875</v>
      </c>
      <c r="I1202" s="3" t="n">
        <v>0.8540155951382643</v>
      </c>
      <c r="J1202" t="n">
        <v>631260.4</v>
      </c>
      <c r="K1202">
        <f>IF(IFERROR(INDEX(Spots!$K$2:$K$96,MATCH(A1202,Spots!$A$2:$A$96,0)),"")="","",IFERROR(INDEX(Spots!$K$2:$K$96,MATCH(A1202,Spots!$A$2:$A$96,0)),""))</f>
        <v/>
      </c>
      <c r="L1202" s="3">
        <f>IF(OR(K1202="",F1202=""),"",F1202/1000*K1202*100)</f>
        <v/>
      </c>
      <c r="M1202">
        <f>IF(OR(L1202="",L1202=0),"",ROUND(100/L1202,0))</f>
        <v/>
      </c>
      <c r="N1202" t="inlineStr"/>
    </row>
    <row r="1203">
      <c r="A1203" t="n">
        <v>148</v>
      </c>
      <c r="B1203" t="inlineStr">
        <is>
          <t>Tungrad Ruins</t>
        </is>
      </c>
      <c r="C1203" t="inlineStr">
        <is>
          <t>Specter's Energy</t>
        </is>
      </c>
      <c r="D1203" t="n">
        <v>0.82518241</v>
      </c>
      <c r="E1203" t="n">
        <v>14309</v>
      </c>
      <c r="F1203" s="3" t="n">
        <v>0.05766876860717031</v>
      </c>
      <c r="G1203" t="n">
        <v>17340</v>
      </c>
      <c r="H1203" s="3" t="n">
        <v>0.057123259427811</v>
      </c>
      <c r="I1203" s="3" t="n">
        <v>0.05821819028751039</v>
      </c>
      <c r="J1203" t="n">
        <v>42732.2</v>
      </c>
      <c r="K1203">
        <f>IF(IFERROR(INDEX(Spots!$K$2:$K$96,MATCH(A1203,Spots!$A$2:$A$96,0)),"")="","",IFERROR(INDEX(Spots!$K$2:$K$96,MATCH(A1203,Spots!$A$2:$A$96,0)),""))</f>
        <v/>
      </c>
      <c r="L1203" s="3">
        <f>IF(OR(K1203="",F1203=""),"",F1203/1000*K1203*100)</f>
        <v/>
      </c>
      <c r="M1203">
        <f>IF(OR(L1203="",L1203=0),"",ROUND(100/L1203,0))</f>
        <v/>
      </c>
      <c r="N1203" t="inlineStr"/>
    </row>
    <row r="1204">
      <c r="A1204" t="n">
        <v>148</v>
      </c>
      <c r="B1204" t="inlineStr">
        <is>
          <t>Tungrad Ruins</t>
        </is>
      </c>
      <c r="C1204" t="inlineStr">
        <is>
          <t>Imperfect Lightstone of Fire</t>
        </is>
      </c>
      <c r="D1204" t="n">
        <v>0.5872283</v>
      </c>
      <c r="E1204" t="n">
        <v>14309</v>
      </c>
      <c r="F1204" s="3" t="n">
        <v>0.04103908728772102</v>
      </c>
      <c r="G1204" t="n">
        <v>24367</v>
      </c>
      <c r="H1204" s="3" t="n">
        <v>0.04057910457966632</v>
      </c>
      <c r="I1204" s="3" t="n">
        <v>0.04150298368032352</v>
      </c>
      <c r="J1204" t="n">
        <v>30409.7</v>
      </c>
      <c r="K1204">
        <f>IF(IFERROR(INDEX(Spots!$K$2:$K$96,MATCH(A1204,Spots!$A$2:$A$96,0)),"")="","",IFERROR(INDEX(Spots!$K$2:$K$96,MATCH(A1204,Spots!$A$2:$A$96,0)),""))</f>
        <v/>
      </c>
      <c r="L1204" s="3">
        <f>IF(OR(K1204="",F1204=""),"",F1204/1000*K1204*100)</f>
        <v/>
      </c>
      <c r="M1204">
        <f>IF(OR(L1204="",L1204=0),"",ROUND(100/L1204,0))</f>
        <v/>
      </c>
      <c r="N1204" t="inlineStr"/>
    </row>
    <row r="1205">
      <c r="A1205" t="n">
        <v>148</v>
      </c>
      <c r="B1205" t="inlineStr">
        <is>
          <t>Tungrad Ruins</t>
        </is>
      </c>
      <c r="C1205" t="inlineStr">
        <is>
          <t>Essence of Devouring</t>
        </is>
      </c>
      <c r="D1205" t="n">
        <v>0.58396243</v>
      </c>
      <c r="E1205" t="n">
        <v>14309</v>
      </c>
      <c r="F1205" s="3" t="n">
        <v>0.04081084841708016</v>
      </c>
      <c r="G1205" t="n">
        <v>24503</v>
      </c>
      <c r="H1205" s="3" t="n">
        <v>0.0403521501555223</v>
      </c>
      <c r="I1205" s="3" t="n">
        <v>0.04127346038431118</v>
      </c>
      <c r="J1205" t="n">
        <v>30240.6</v>
      </c>
      <c r="K1205">
        <f>IF(IFERROR(INDEX(Spots!$K$2:$K$96,MATCH(A1205,Spots!$A$2:$A$96,0)),"")="","",IFERROR(INDEX(Spots!$K$2:$K$96,MATCH(A1205,Spots!$A$2:$A$96,0)),""))</f>
        <v/>
      </c>
      <c r="L1205" s="3">
        <f>IF(OR(K1205="",F1205=""),"",F1205/1000*K1205*100)</f>
        <v/>
      </c>
      <c r="M1205">
        <f>IF(OR(L1205="",L1205=0),"",ROUND(100/L1205,0))</f>
        <v/>
      </c>
      <c r="N1205" t="inlineStr"/>
    </row>
    <row r="1206">
      <c r="A1206" t="n">
        <v>148</v>
      </c>
      <c r="B1206" t="inlineStr">
        <is>
          <t>Tungrad Ruins</t>
        </is>
      </c>
      <c r="C1206" t="inlineStr">
        <is>
          <t>Embers of Resonance</t>
        </is>
      </c>
      <c r="D1206" t="n">
        <v>0.22673249</v>
      </c>
      <c r="E1206" t="n">
        <v>14309</v>
      </c>
      <c r="F1206" s="3" t="n">
        <v>0.01584544622265707</v>
      </c>
      <c r="G1206" t="n">
        <v>63110</v>
      </c>
      <c r="H1206" s="3" t="n">
        <v>0.01556010990144676</v>
      </c>
      <c r="I1206" s="3" t="n">
        <v>0.01613470083471292</v>
      </c>
      <c r="J1206" t="n">
        <v>11741.4</v>
      </c>
      <c r="K1206">
        <f>IF(IFERROR(INDEX(Spots!$K$2:$K$96,MATCH(A1206,Spots!$A$2:$A$96,0)),"")="","",IFERROR(INDEX(Spots!$K$2:$K$96,MATCH(A1206,Spots!$A$2:$A$96,0)),""))</f>
        <v/>
      </c>
      <c r="L1206" s="3">
        <f>IF(OR(K1206="",F1206=""),"",F1206/1000*K1206*100)</f>
        <v/>
      </c>
      <c r="M1206">
        <f>IF(OR(L1206="",L1206=0),"",ROUND(100/L1206,0))</f>
        <v/>
      </c>
      <c r="N1206" t="inlineStr"/>
    </row>
    <row r="1207">
      <c r="A1207" t="n">
        <v>148</v>
      </c>
      <c r="B1207" t="inlineStr">
        <is>
          <t>Tungrad Ruins</t>
        </is>
      </c>
      <c r="C1207" t="inlineStr">
        <is>
          <t>Kuadir Fragment</t>
        </is>
      </c>
      <c r="D1207" t="n">
        <v>0.10989322</v>
      </c>
      <c r="E1207" t="n">
        <v>14309</v>
      </c>
      <c r="F1207" s="3" t="n">
        <v>0.007680006988608567</v>
      </c>
      <c r="G1207" t="n">
        <v>130208</v>
      </c>
      <c r="H1207" s="3" t="n">
        <v>0.007481748115748921</v>
      </c>
      <c r="I1207" s="3" t="n">
        <v>0.007882189452531942</v>
      </c>
      <c r="J1207" t="n">
        <v>5690.8</v>
      </c>
      <c r="K1207">
        <f>IF(IFERROR(INDEX(Spots!$K$2:$K$96,MATCH(A1207,Spots!$A$2:$A$96,0)),"")="","",IFERROR(INDEX(Spots!$K$2:$K$96,MATCH(A1207,Spots!$A$2:$A$96,0)),""))</f>
        <v/>
      </c>
      <c r="L1207" s="3">
        <f>IF(OR(K1207="",F1207=""),"",F1207/1000*K1207*100)</f>
        <v/>
      </c>
      <c r="M1207">
        <f>IF(OR(L1207="",L1207=0),"",ROUND(100/L1207,0))</f>
        <v/>
      </c>
      <c r="N1207" t="inlineStr"/>
    </row>
    <row r="1208">
      <c r="A1208" t="n">
        <v>148</v>
      </c>
      <c r="B1208" t="inlineStr">
        <is>
          <t>Tungrad Ruins</t>
        </is>
      </c>
      <c r="C1208" t="inlineStr">
        <is>
          <t>Tungrad Ruins Paint</t>
        </is>
      </c>
      <c r="D1208" t="n">
        <v>0.07010975999999999</v>
      </c>
      <c r="E1208" t="n">
        <v>14309</v>
      </c>
      <c r="F1208" s="3" t="n">
        <v>0.004899696694388147</v>
      </c>
      <c r="G1208" t="n">
        <v>204094</v>
      </c>
      <c r="H1208" s="3" t="n">
        <v>0.004741598524031387</v>
      </c>
      <c r="I1208" s="3" t="n">
        <v>0.005061722844564976</v>
      </c>
      <c r="J1208" t="n">
        <v>3630.6</v>
      </c>
      <c r="K1208">
        <f>IF(IFERROR(INDEX(Spots!$K$2:$K$96,MATCH(A1208,Spots!$A$2:$A$96,0)),"")="","",IFERROR(INDEX(Spots!$K$2:$K$96,MATCH(A1208,Spots!$A$2:$A$96,0)),""))</f>
        <v/>
      </c>
      <c r="L1208" s="3">
        <f>IF(OR(K1208="",F1208=""),"",F1208/1000*K1208*100)</f>
        <v/>
      </c>
      <c r="M1208">
        <f>IF(OR(L1208="",L1208=0),"",ROUND(100/L1208,0))</f>
        <v/>
      </c>
      <c r="N1208" t="inlineStr"/>
    </row>
    <row r="1209">
      <c r="A1209" t="n">
        <v>148</v>
      </c>
      <c r="B1209" t="inlineStr">
        <is>
          <t>Tungrad Ruins</t>
        </is>
      </c>
      <c r="C1209" t="inlineStr">
        <is>
          <t>Imperfect Lightstone of Earth</t>
        </is>
      </c>
      <c r="D1209" t="n">
        <v>0.06419696</v>
      </c>
      <c r="E1209" t="n">
        <v>14309</v>
      </c>
      <c r="F1209" s="3" t="n">
        <v>0.004486474246977427</v>
      </c>
      <c r="G1209" t="n">
        <v>222892</v>
      </c>
      <c r="H1209" s="3" t="n">
        <v>0.004335245001316736</v>
      </c>
      <c r="I1209" s="3" t="n">
        <v>0.004641632453656563</v>
      </c>
      <c r="J1209" t="n">
        <v>3324.4</v>
      </c>
      <c r="K1209">
        <f>IF(IFERROR(INDEX(Spots!$K$2:$K$96,MATCH(A1209,Spots!$A$2:$A$96,0)),"")="","",IFERROR(INDEX(Spots!$K$2:$K$96,MATCH(A1209,Spots!$A$2:$A$96,0)),""))</f>
        <v/>
      </c>
      <c r="L1209" s="3">
        <f>IF(OR(K1209="",F1209=""),"",F1209/1000*K1209*100)</f>
        <v/>
      </c>
      <c r="M1209">
        <f>IF(OR(L1209="",L1209=0),"",ROUND(100/L1209,0))</f>
        <v/>
      </c>
      <c r="N1209" t="inlineStr"/>
    </row>
    <row r="1210">
      <c r="A1210" t="n">
        <v>148</v>
      </c>
      <c r="B1210" t="inlineStr">
        <is>
          <t>Tungrad Ruins</t>
        </is>
      </c>
      <c r="C1210" t="inlineStr">
        <is>
          <t>Imperfect Lightstone of Wind</t>
        </is>
      </c>
      <c r="D1210" t="n">
        <v>0.04591282</v>
      </c>
      <c r="E1210" t="n">
        <v>14309</v>
      </c>
      <c r="F1210" s="3" t="n">
        <v>0.003208667272346076</v>
      </c>
      <c r="G1210" t="n">
        <v>311656</v>
      </c>
      <c r="H1210" s="3" t="n">
        <v>0.003080973103436561</v>
      </c>
      <c r="I1210" s="3" t="n">
        <v>0.003340294552964527</v>
      </c>
      <c r="J1210" t="n">
        <v>2377.6</v>
      </c>
      <c r="K1210">
        <f>IF(IFERROR(INDEX(Spots!$K$2:$K$96,MATCH(A1210,Spots!$A$2:$A$96,0)),"")="","",IFERROR(INDEX(Spots!$K$2:$K$96,MATCH(A1210,Spots!$A$2:$A$96,0)),""))</f>
        <v/>
      </c>
      <c r="L1210" s="3">
        <f>IF(OR(K1210="",F1210=""),"",F1210/1000*K1210*100)</f>
        <v/>
      </c>
      <c r="M1210">
        <f>IF(OR(L1210="",L1210=0),"",ROUND(100/L1210,0))</f>
        <v/>
      </c>
      <c r="N1210" t="inlineStr"/>
    </row>
    <row r="1211">
      <c r="A1211" t="n">
        <v>148</v>
      </c>
      <c r="B1211" t="inlineStr">
        <is>
          <t>Tungrad Ruins</t>
        </is>
      </c>
      <c r="C1211" t="inlineStr">
        <is>
          <t>Ancient Magic Crystal of Nature - Giant</t>
        </is>
      </c>
      <c r="D1211" t="n">
        <v>0.04304401</v>
      </c>
      <c r="E1211" t="n">
        <v>14309</v>
      </c>
      <c r="F1211" s="3" t="n">
        <v>0.003008177370885457</v>
      </c>
      <c r="G1211" t="n">
        <v>332427</v>
      </c>
      <c r="H1211" s="3" t="n">
        <v>0.002884577813026537</v>
      </c>
      <c r="I1211" s="3" t="n">
        <v>0.003135710921579456</v>
      </c>
      <c r="J1211" t="n">
        <v>2229</v>
      </c>
      <c r="K1211">
        <f>IF(IFERROR(INDEX(Spots!$K$2:$K$96,MATCH(A1211,Spots!$A$2:$A$96,0)),"")="","",IFERROR(INDEX(Spots!$K$2:$K$96,MATCH(A1211,Spots!$A$2:$A$96,0)),""))</f>
        <v/>
      </c>
      <c r="L1211" s="3">
        <f>IF(OR(K1211="",F1211=""),"",F1211/1000*K1211*100)</f>
        <v/>
      </c>
      <c r="M1211">
        <f>IF(OR(L1211="",L1211=0),"",ROUND(100/L1211,0))</f>
        <v/>
      </c>
      <c r="N1211" t="inlineStr"/>
    </row>
    <row r="1212">
      <c r="A1212" t="n">
        <v>148</v>
      </c>
      <c r="B1212" t="inlineStr">
        <is>
          <t>Tungrad Ruins</t>
        </is>
      </c>
      <c r="C1212" t="inlineStr">
        <is>
          <t>Forgotten Limbo Box</t>
        </is>
      </c>
      <c r="D1212" t="n">
        <v>0.02740225</v>
      </c>
      <c r="E1212" t="n">
        <v>14309</v>
      </c>
      <c r="F1212" s="3" t="n">
        <v>0.001915035991334125</v>
      </c>
      <c r="G1212" t="n">
        <v>522183</v>
      </c>
      <c r="H1212" s="3" t="n">
        <v>0.001816678923317987</v>
      </c>
      <c r="I1212" s="3" t="n">
        <v>0.002017334073663887</v>
      </c>
      <c r="J1212" t="n">
        <v>1419</v>
      </c>
      <c r="K1212">
        <f>IF(IFERROR(INDEX(Spots!$K$2:$K$96,MATCH(A1212,Spots!$A$2:$A$96,0)),"")="","",IFERROR(INDEX(Spots!$K$2:$K$96,MATCH(A1212,Spots!$A$2:$A$96,0)),""))</f>
        <v/>
      </c>
      <c r="L1212" s="3">
        <f>IF(OR(K1212="",F1212=""),"",F1212/1000*K1212*100)</f>
        <v/>
      </c>
      <c r="M1212">
        <f>IF(OR(L1212="",L1212=0),"",ROUND(100/L1212,0))</f>
        <v/>
      </c>
      <c r="N1212" t="inlineStr"/>
    </row>
    <row r="1213">
      <c r="A1213" t="n">
        <v>148</v>
      </c>
      <c r="B1213" t="inlineStr">
        <is>
          <t>Tungrad Ruins</t>
        </is>
      </c>
      <c r="C1213" t="inlineStr">
        <is>
          <t>Origin of Dark Hunger</t>
        </is>
      </c>
      <c r="D1213" t="n">
        <v>0.01849882</v>
      </c>
      <c r="E1213" t="n">
        <v>14309</v>
      </c>
      <c r="F1213" s="3" t="n">
        <v>0.001292810119505207</v>
      </c>
      <c r="G1213" t="n">
        <v>773509</v>
      </c>
      <c r="H1213" s="3" t="n">
        <v>0.00121222666994382</v>
      </c>
      <c r="I1213" s="3" t="n">
        <v>0.001377342105358676</v>
      </c>
      <c r="J1213" t="n">
        <v>958</v>
      </c>
      <c r="K1213">
        <f>IF(IFERROR(INDEX(Spots!$K$2:$K$96,MATCH(A1213,Spots!$A$2:$A$96,0)),"")="","",IFERROR(INDEX(Spots!$K$2:$K$96,MATCH(A1213,Spots!$A$2:$A$96,0)),""))</f>
        <v/>
      </c>
      <c r="L1213" s="3">
        <f>IF(OR(K1213="",F1213=""),"",F1213/1000*K1213*100)</f>
        <v/>
      </c>
      <c r="M1213">
        <f>IF(OR(L1213="",L1213=0),"",ROUND(100/L1213,0))</f>
        <v/>
      </c>
      <c r="N1213" t="inlineStr"/>
    </row>
    <row r="1214">
      <c r="A1214" t="n">
        <v>148</v>
      </c>
      <c r="B1214" t="inlineStr">
        <is>
          <t>Tungrad Ruins</t>
        </is>
      </c>
      <c r="C1214" t="inlineStr">
        <is>
          <t>Lafi Bedmountain's Upgraded Telescope Parts</t>
        </is>
      </c>
      <c r="D1214" t="n">
        <v>0.00646467</v>
      </c>
      <c r="E1214" t="n">
        <v>14309</v>
      </c>
      <c r="F1214" s="3" t="n">
        <v>0.0004517904815151303</v>
      </c>
      <c r="G1214" t="n">
        <v>2213415</v>
      </c>
      <c r="H1214" s="3" t="n">
        <v>0.0004046829917588517</v>
      </c>
      <c r="I1214" s="3" t="n">
        <v>0.0005028754801095535</v>
      </c>
      <c r="J1214" t="n">
        <v>334.8</v>
      </c>
      <c r="K1214">
        <f>IF(IFERROR(INDEX(Spots!$K$2:$K$96,MATCH(A1214,Spots!$A$2:$A$96,0)),"")="","",IFERROR(INDEX(Spots!$K$2:$K$96,MATCH(A1214,Spots!$A$2:$A$96,0)),""))</f>
        <v/>
      </c>
      <c r="L1214" s="3">
        <f>IF(OR(K1214="",F1214=""),"",F1214/1000*K1214*100)</f>
        <v/>
      </c>
      <c r="M1214">
        <f>IF(OR(L1214="",L1214=0),"",ROUND(100/L1214,0))</f>
        <v/>
      </c>
      <c r="N1214" t="inlineStr"/>
    </row>
    <row r="1215">
      <c r="A1215" t="n">
        <v>148</v>
      </c>
      <c r="B1215" t="inlineStr">
        <is>
          <t>Tungrad Ruins</t>
        </is>
      </c>
      <c r="C1215" t="inlineStr">
        <is>
          <t>Lafi Bedmountain's Upgraded Telescope Parts</t>
        </is>
      </c>
      <c r="D1215" t="n">
        <v>0.0033113</v>
      </c>
      <c r="E1215" t="n">
        <v>14309</v>
      </c>
      <c r="F1215" s="3" t="n">
        <v>0.0002314137955133133</v>
      </c>
      <c r="G1215" t="n">
        <v>4321264</v>
      </c>
      <c r="H1215" s="3" t="n">
        <v>0.0001980701159092684</v>
      </c>
      <c r="I1215" s="3" t="n">
        <v>0.000268762830371028</v>
      </c>
      <c r="J1215" t="n">
        <v>171.5</v>
      </c>
      <c r="K1215">
        <f>IF(IFERROR(INDEX(Spots!$K$2:$K$96,MATCH(A1215,Spots!$A$2:$A$96,0)),"")="","",IFERROR(INDEX(Spots!$K$2:$K$96,MATCH(A1215,Spots!$A$2:$A$96,0)),""))</f>
        <v/>
      </c>
      <c r="L1215" s="3">
        <f>IF(OR(K1215="",F1215=""),"",F1215/1000*K1215*100)</f>
        <v/>
      </c>
      <c r="M1215">
        <f>IF(OR(L1215="",L1215=0),"",ROUND(100/L1215,0))</f>
        <v/>
      </c>
      <c r="N1215" t="inlineStr"/>
    </row>
    <row r="1216">
      <c r="A1216" t="n">
        <v>4</v>
      </c>
      <c r="B1216" t="inlineStr">
        <is>
          <t>Tunkuta</t>
        </is>
      </c>
      <c r="C1216" t="inlineStr">
        <is>
          <t>Black Stone</t>
        </is>
      </c>
      <c r="D1216" t="n">
        <v>85.399</v>
      </c>
      <c r="E1216" t="n">
        <v>4572.4</v>
      </c>
      <c r="F1216" s="3" t="n">
        <v>18.67706237424548</v>
      </c>
      <c r="G1216" t="n">
        <v>54</v>
      </c>
      <c r="H1216" s="3" t="n">
        <v>18.40557283371044</v>
      </c>
      <c r="I1216" s="3" t="n">
        <v>18.95155431913321</v>
      </c>
      <c r="J1216" t="n">
        <v>18050.5</v>
      </c>
      <c r="K1216">
        <f>IF(IFERROR(INDEX(Spots!$K$2:$K$96,MATCH(A1216,Spots!$A$2:$A$96,0)),"")="","",IFERROR(INDEX(Spots!$K$2:$K$96,MATCH(A1216,Spots!$A$2:$A$96,0)),""))</f>
        <v/>
      </c>
      <c r="L1216" s="3">
        <f>IF(OR(K1216="",F1216=""),"",F1216/1000*K1216*100)</f>
        <v/>
      </c>
      <c r="M1216">
        <f>IF(OR(L1216="",L1216=0),"",ROUND(100/L1216,0))</f>
        <v/>
      </c>
      <c r="N1216" t="inlineStr"/>
    </row>
    <row r="1217">
      <c r="A1217" t="n">
        <v>4</v>
      </c>
      <c r="B1217" t="inlineStr">
        <is>
          <t>Tunkuta</t>
        </is>
      </c>
      <c r="C1217" t="inlineStr">
        <is>
          <t>Old Warrior's Horn Decoration</t>
        </is>
      </c>
      <c r="D1217" t="n">
        <v>70.392</v>
      </c>
      <c r="E1217" t="n">
        <v>4572.4</v>
      </c>
      <c r="F1217" s="3" t="n">
        <v>15.3949785670545</v>
      </c>
      <c r="G1217" t="n">
        <v>65</v>
      </c>
      <c r="H1217" s="3" t="n">
        <v>15.14858528020537</v>
      </c>
      <c r="I1217" s="3" t="n">
        <v>15.64437502134896</v>
      </c>
      <c r="J1217" t="n">
        <v>14878.5</v>
      </c>
      <c r="K1217">
        <f>IF(IFERROR(INDEX(Spots!$K$2:$K$96,MATCH(A1217,Spots!$A$2:$A$96,0)),"")="","",IFERROR(INDEX(Spots!$K$2:$K$96,MATCH(A1217,Spots!$A$2:$A$96,0)),""))</f>
        <v/>
      </c>
      <c r="L1217" s="3">
        <f>IF(OR(K1217="",F1217=""),"",F1217/1000*K1217*100)</f>
        <v/>
      </c>
      <c r="M1217">
        <f>IF(OR(L1217="",L1217=0),"",ROUND(100/L1217,0))</f>
        <v/>
      </c>
      <c r="N1217" t="inlineStr"/>
    </row>
    <row r="1218">
      <c r="A1218" t="n">
        <v>4</v>
      </c>
      <c r="B1218" t="inlineStr">
        <is>
          <t>Tunkuta</t>
        </is>
      </c>
      <c r="C1218" t="inlineStr">
        <is>
          <t>Ancient Spirit Dust</t>
        </is>
      </c>
      <c r="D1218" t="n">
        <v>28.716</v>
      </c>
      <c r="E1218" t="n">
        <v>4572.4</v>
      </c>
      <c r="F1218" s="3" t="n">
        <v>6.280290438281866</v>
      </c>
      <c r="G1218" t="n">
        <v>159</v>
      </c>
      <c r="H1218" s="3" t="n">
        <v>6.123273128832765</v>
      </c>
      <c r="I1218" s="3" t="n">
        <v>6.440315596145715</v>
      </c>
      <c r="J1218" t="n">
        <v>6069.6</v>
      </c>
      <c r="K1218">
        <f>IF(IFERROR(INDEX(Spots!$K$2:$K$96,MATCH(A1218,Spots!$A$2:$A$96,0)),"")="","",IFERROR(INDEX(Spots!$K$2:$K$96,MATCH(A1218,Spots!$A$2:$A$96,0)),""))</f>
        <v/>
      </c>
      <c r="L1218" s="3">
        <f>IF(OR(K1218="",F1218=""),"",F1218/1000*K1218*100)</f>
        <v/>
      </c>
      <c r="M1218">
        <f>IF(OR(L1218="",L1218=0),"",ROUND(100/L1218,0))</f>
        <v/>
      </c>
      <c r="N1218" t="inlineStr"/>
    </row>
    <row r="1219">
      <c r="A1219" t="n">
        <v>4</v>
      </c>
      <c r="B1219" t="inlineStr">
        <is>
          <t>Tunkuta</t>
        </is>
      </c>
      <c r="C1219" t="inlineStr">
        <is>
          <t>Caphras Stone</t>
        </is>
      </c>
      <c r="D1219" t="n">
        <v>15.267</v>
      </c>
      <c r="E1219" t="n">
        <v>4572.4</v>
      </c>
      <c r="F1219" s="3" t="n">
        <v>3.338946723821188</v>
      </c>
      <c r="G1219" t="n">
        <v>299</v>
      </c>
      <c r="H1219" s="3" t="n">
        <v>3.224724853287239</v>
      </c>
      <c r="I1219" s="3" t="n">
        <v>3.456181245457643</v>
      </c>
      <c r="J1219" t="n">
        <v>3226.9</v>
      </c>
      <c r="K1219">
        <f>IF(IFERROR(INDEX(Spots!$K$2:$K$96,MATCH(A1219,Spots!$A$2:$A$96,0)),"")="","",IFERROR(INDEX(Spots!$K$2:$K$96,MATCH(A1219,Spots!$A$2:$A$96,0)),""))</f>
        <v/>
      </c>
      <c r="L1219" s="3">
        <f>IF(OR(K1219="",F1219=""),"",F1219/1000*K1219*100)</f>
        <v/>
      </c>
      <c r="M1219">
        <f>IF(OR(L1219="",L1219=0),"",ROUND(100/L1219,0))</f>
        <v/>
      </c>
      <c r="N1219" t="inlineStr"/>
    </row>
    <row r="1220">
      <c r="A1220" t="n">
        <v>4</v>
      </c>
      <c r="B1220" t="inlineStr">
        <is>
          <t>Tunkuta</t>
        </is>
      </c>
      <c r="C1220" t="inlineStr">
        <is>
          <t>Thick Turo Blood</t>
        </is>
      </c>
      <c r="D1220" t="n">
        <v>4.938264</v>
      </c>
      <c r="E1220" t="n">
        <v>4572.4</v>
      </c>
      <c r="F1220" s="3" t="n">
        <v>1.080015746653836</v>
      </c>
      <c r="G1220" t="n">
        <v>926</v>
      </c>
      <c r="H1220" s="3" t="n">
        <v>1.015479702102022</v>
      </c>
      <c r="I1220" s="3" t="n">
        <v>1.147577832850267</v>
      </c>
      <c r="J1220" t="n">
        <v>1043.8</v>
      </c>
      <c r="K1220">
        <f>IF(IFERROR(INDEX(Spots!$K$2:$K$96,MATCH(A1220,Spots!$A$2:$A$96,0)),"")="","",IFERROR(INDEX(Spots!$K$2:$K$96,MATCH(A1220,Spots!$A$2:$A$96,0)),""))</f>
        <v/>
      </c>
      <c r="L1220" s="3">
        <f>IF(OR(K1220="",F1220=""),"",F1220/1000*K1220*100)</f>
        <v/>
      </c>
      <c r="M1220">
        <f>IF(OR(L1220="",L1220=0),"",ROUND(100/L1220,0))</f>
        <v/>
      </c>
      <c r="N1220" t="inlineStr"/>
    </row>
    <row r="1221">
      <c r="A1221" t="n">
        <v>4</v>
      </c>
      <c r="B1221" t="inlineStr">
        <is>
          <t>Tunkuta</t>
        </is>
      </c>
      <c r="C1221" t="inlineStr">
        <is>
          <t>Embers of Despair</t>
        </is>
      </c>
      <c r="D1221" t="n">
        <v>1.91062</v>
      </c>
      <c r="E1221" t="n">
        <v>4572.4</v>
      </c>
      <c r="F1221" s="3" t="n">
        <v>0.4178593298923979</v>
      </c>
      <c r="G1221" t="n">
        <v>2393</v>
      </c>
      <c r="H1221" s="3" t="n">
        <v>0.3780922157373683</v>
      </c>
      <c r="I1221" s="3" t="n">
        <v>0.4606712123309299</v>
      </c>
      <c r="J1221" t="n">
        <v>403.8</v>
      </c>
      <c r="K1221">
        <f>IF(IFERROR(INDEX(Spots!$K$2:$K$96,MATCH(A1221,Spots!$A$2:$A$96,0)),"")="","",IFERROR(INDEX(Spots!$K$2:$K$96,MATCH(A1221,Spots!$A$2:$A$96,0)),""))</f>
        <v/>
      </c>
      <c r="L1221" s="3">
        <f>IF(OR(K1221="",F1221=""),"",F1221/1000*K1221*100)</f>
        <v/>
      </c>
      <c r="M1221">
        <f>IF(OR(L1221="",L1221=0),"",ROUND(100/L1221,0))</f>
        <v/>
      </c>
      <c r="N1221" t="inlineStr"/>
    </row>
    <row r="1222">
      <c r="A1222" t="n">
        <v>4</v>
      </c>
      <c r="B1222" t="inlineStr">
        <is>
          <t>Tunkuta</t>
        </is>
      </c>
      <c r="C1222" t="inlineStr">
        <is>
          <t>Turo Heart</t>
        </is>
      </c>
      <c r="D1222" t="n">
        <v>1.771691</v>
      </c>
      <c r="E1222" t="n">
        <v>4572.4</v>
      </c>
      <c r="F1222" s="3" t="n">
        <v>0.3874750677980929</v>
      </c>
      <c r="G1222" t="n">
        <v>2581</v>
      </c>
      <c r="H1222" s="3" t="n">
        <v>0.3492179353292412</v>
      </c>
      <c r="I1222" s="3" t="n">
        <v>0.4287788648885712</v>
      </c>
      <c r="J1222" t="n">
        <v>374.5</v>
      </c>
      <c r="K1222">
        <f>IF(IFERROR(INDEX(Spots!$K$2:$K$96,MATCH(A1222,Spots!$A$2:$A$96,0)),"")="","",IFERROR(INDEX(Spots!$K$2:$K$96,MATCH(A1222,Spots!$A$2:$A$96,0)),""))</f>
        <v/>
      </c>
      <c r="L1222" s="3">
        <f>IF(OR(K1222="",F1222=""),"",F1222/1000*K1222*100)</f>
        <v/>
      </c>
      <c r="M1222">
        <f>IF(OR(L1222="",L1222=0),"",ROUND(100/L1222,0))</f>
        <v/>
      </c>
      <c r="N1222" t="inlineStr"/>
    </row>
    <row r="1223">
      <c r="A1223" t="n">
        <v>4</v>
      </c>
      <c r="B1223" t="inlineStr">
        <is>
          <t>Tunkuta</t>
        </is>
      </c>
      <c r="C1223" t="inlineStr">
        <is>
          <t>Venomous Night Fang</t>
        </is>
      </c>
      <c r="D1223" t="n">
        <v>1.66099</v>
      </c>
      <c r="E1223" t="n">
        <v>4572.4</v>
      </c>
      <c r="F1223" s="3" t="n">
        <v>0.3632643688216254</v>
      </c>
      <c r="G1223" t="n">
        <v>2753</v>
      </c>
      <c r="H1223" s="3" t="n">
        <v>0.3262533532118174</v>
      </c>
      <c r="I1223" s="3" t="n">
        <v>0.4033237259891847</v>
      </c>
      <c r="J1223" t="n">
        <v>351.1</v>
      </c>
      <c r="K1223">
        <f>IF(IFERROR(INDEX(Spots!$K$2:$K$96,MATCH(A1223,Spots!$A$2:$A$96,0)),"")="","",IFERROR(INDEX(Spots!$K$2:$K$96,MATCH(A1223,Spots!$A$2:$A$96,0)),""))</f>
        <v/>
      </c>
      <c r="L1223" s="3">
        <f>IF(OR(K1223="",F1223=""),"",F1223/1000*K1223*100)</f>
        <v/>
      </c>
      <c r="M1223">
        <f>IF(OR(L1223="",L1223=0),"",ROUND(100/L1223,0))</f>
        <v/>
      </c>
      <c r="N1223" t="inlineStr"/>
    </row>
    <row r="1224">
      <c r="A1224" t="n">
        <v>4</v>
      </c>
      <c r="B1224" t="inlineStr">
        <is>
          <t>Tunkuta</t>
        </is>
      </c>
      <c r="C1224" t="inlineStr">
        <is>
          <t>Imperfect Lightstone of Earth</t>
        </is>
      </c>
      <c r="D1224" t="n">
        <v>0.49646833</v>
      </c>
      <c r="E1224" t="n">
        <v>4572.4</v>
      </c>
      <c r="F1224" s="3" t="n">
        <v>0.10857937407051</v>
      </c>
      <c r="G1224" t="n">
        <v>9210</v>
      </c>
      <c r="H1224" s="3" t="n">
        <v>0.08879929696520203</v>
      </c>
      <c r="I1224" s="3" t="n">
        <v>0.1314510818172651</v>
      </c>
      <c r="J1224" t="n">
        <v>104.9</v>
      </c>
      <c r="K1224">
        <f>IF(IFERROR(INDEX(Spots!$K$2:$K$96,MATCH(A1224,Spots!$A$2:$A$96,0)),"")="","",IFERROR(INDEX(Spots!$K$2:$K$96,MATCH(A1224,Spots!$A$2:$A$96,0)),""))</f>
        <v/>
      </c>
      <c r="L1224" s="3">
        <f>IF(OR(K1224="",F1224=""),"",F1224/1000*K1224*100)</f>
        <v/>
      </c>
      <c r="M1224">
        <f>IF(OR(L1224="",L1224=0),"",ROUND(100/L1224,0))</f>
        <v/>
      </c>
      <c r="N1224" t="inlineStr"/>
    </row>
    <row r="1225">
      <c r="A1225" t="n">
        <v>4</v>
      </c>
      <c r="B1225" t="inlineStr">
        <is>
          <t>Tunkuta</t>
        </is>
      </c>
      <c r="C1225" t="inlineStr">
        <is>
          <t>Quturan's Ashen Leaf</t>
        </is>
      </c>
      <c r="D1225" t="n">
        <v>0.38888307</v>
      </c>
      <c r="E1225" t="n">
        <v>4572.4</v>
      </c>
      <c r="F1225" s="3" t="n">
        <v>0.08505009841658648</v>
      </c>
      <c r="G1225" t="n">
        <v>11758</v>
      </c>
      <c r="H1225" s="3" t="n">
        <v>0.06766002869843703</v>
      </c>
      <c r="I1225" s="3" t="n">
        <v>0.1055440173282543</v>
      </c>
      <c r="J1225" t="n">
        <v>82.2</v>
      </c>
      <c r="K1225">
        <f>IF(IFERROR(INDEX(Spots!$K$2:$K$96,MATCH(A1225,Spots!$A$2:$A$96,0)),"")="","",IFERROR(INDEX(Spots!$K$2:$K$96,MATCH(A1225,Spots!$A$2:$A$96,0)),""))</f>
        <v/>
      </c>
      <c r="L1225" s="3">
        <f>IF(OR(K1225="",F1225=""),"",F1225/1000*K1225*100)</f>
        <v/>
      </c>
      <c r="M1225">
        <f>IF(OR(L1225="",L1225=0),"",ROUND(100/L1225,0))</f>
        <v/>
      </c>
      <c r="N1225" t="inlineStr"/>
    </row>
    <row r="1226">
      <c r="A1226" t="n">
        <v>4</v>
      </c>
      <c r="B1226" t="inlineStr">
        <is>
          <t>Tunkuta</t>
        </is>
      </c>
      <c r="C1226" t="inlineStr">
        <is>
          <t>Turo's Belt</t>
        </is>
      </c>
      <c r="D1226" t="n">
        <v>0.17480985</v>
      </c>
      <c r="E1226" t="n">
        <v>4572.4</v>
      </c>
      <c r="F1226" s="3" t="n">
        <v>0.03823153048727145</v>
      </c>
      <c r="G1226" t="n">
        <v>26156</v>
      </c>
      <c r="H1226" s="3" t="n">
        <v>0.02690767681377722</v>
      </c>
      <c r="I1226" s="3" t="n">
        <v>0.05271048851236795</v>
      </c>
      <c r="J1226" t="n">
        <v>36.9</v>
      </c>
      <c r="K1226">
        <f>IF(IFERROR(INDEX(Spots!$K$2:$K$96,MATCH(A1226,Spots!$A$2:$A$96,0)),"")="","",IFERROR(INDEX(Spots!$K$2:$K$96,MATCH(A1226,Spots!$A$2:$A$96,0)),""))</f>
        <v/>
      </c>
      <c r="L1226" s="3">
        <f>IF(OR(K1226="",F1226=""),"",F1226/1000*K1226*100)</f>
        <v/>
      </c>
      <c r="M1226">
        <f>IF(OR(L1226="",L1226=0),"",ROUND(100/L1226,0))</f>
        <v/>
      </c>
      <c r="N1226" t="inlineStr"/>
    </row>
    <row r="1227">
      <c r="A1227" t="n">
        <v>4</v>
      </c>
      <c r="B1227" t="inlineStr">
        <is>
          <t>Tunkuta</t>
        </is>
      </c>
      <c r="C1227" t="inlineStr">
        <is>
          <t>Imperfect Lightstone of Fire</t>
        </is>
      </c>
      <c r="D1227" t="n">
        <v>0.11731883</v>
      </c>
      <c r="E1227" t="n">
        <v>4572.4</v>
      </c>
      <c r="F1227" s="3" t="n">
        <v>0.02565804172863267</v>
      </c>
      <c r="G1227" t="n">
        <v>38974</v>
      </c>
      <c r="H1227" s="3" t="n">
        <v>0.01656710171229282</v>
      </c>
      <c r="I1227" s="3" t="n">
        <v>0.03793747723772595</v>
      </c>
      <c r="J1227" t="n">
        <v>24.8</v>
      </c>
      <c r="K1227">
        <f>IF(IFERROR(INDEX(Spots!$K$2:$K$96,MATCH(A1227,Spots!$A$2:$A$96,0)),"")="","",IFERROR(INDEX(Spots!$K$2:$K$96,MATCH(A1227,Spots!$A$2:$A$96,0)),""))</f>
        <v/>
      </c>
      <c r="L1227" s="3">
        <f>IF(OR(K1227="",F1227=""),"",F1227/1000*K1227*100)</f>
        <v/>
      </c>
      <c r="M1227">
        <f>IF(OR(L1227="",L1227=0),"",ROUND(100/L1227,0))</f>
        <v/>
      </c>
      <c r="N1227" t="inlineStr">
        <is>
          <t>low sample</t>
        </is>
      </c>
    </row>
    <row r="1228">
      <c r="A1228" t="n">
        <v>4</v>
      </c>
      <c r="B1228" t="inlineStr">
        <is>
          <t>Tunkuta</t>
        </is>
      </c>
      <c r="C1228" t="inlineStr">
        <is>
          <t>Any Artifact</t>
        </is>
      </c>
      <c r="D1228" t="n">
        <v>0.08471716999999999</v>
      </c>
      <c r="E1228" t="n">
        <v>4572.4</v>
      </c>
      <c r="F1228" s="3" t="n">
        <v>0.01852794374945324</v>
      </c>
      <c r="G1228" t="n">
        <v>53973</v>
      </c>
      <c r="H1228" s="3" t="n">
        <v>0.01095810005576947</v>
      </c>
      <c r="I1228" s="3" t="n">
        <v>0.02931818265541352</v>
      </c>
      <c r="J1228" t="n">
        <v>17.9</v>
      </c>
      <c r="K1228">
        <f>IF(IFERROR(INDEX(Spots!$K$2:$K$96,MATCH(A1228,Spots!$A$2:$A$96,0)),"")="","",IFERROR(INDEX(Spots!$K$2:$K$96,MATCH(A1228,Spots!$A$2:$A$96,0)),""))</f>
        <v/>
      </c>
      <c r="L1228" s="3">
        <f>IF(OR(K1228="",F1228=""),"",F1228/1000*K1228*100)</f>
        <v/>
      </c>
      <c r="M1228">
        <f>IF(OR(L1228="",L1228=0),"",ROUND(100/L1228,0))</f>
        <v/>
      </c>
      <c r="N1228" t="inlineStr">
        <is>
          <t>low sample</t>
        </is>
      </c>
    </row>
    <row r="1229">
      <c r="A1229" t="n">
        <v>4</v>
      </c>
      <c r="B1229" t="inlineStr">
        <is>
          <t>Tunkuta</t>
        </is>
      </c>
      <c r="C1229" t="inlineStr">
        <is>
          <t>Imperfect Lightstone of Wind</t>
        </is>
      </c>
      <c r="D1229" t="n">
        <v>0.06460067</v>
      </c>
      <c r="E1229" t="n">
        <v>4572.4</v>
      </c>
      <c r="F1229" s="3" t="n">
        <v>0.01412839427871577</v>
      </c>
      <c r="G1229" t="n">
        <v>70779</v>
      </c>
      <c r="H1229" s="3" t="n">
        <v>0.007649895003184547</v>
      </c>
      <c r="I1229" s="3" t="n">
        <v>0.02385738269572686</v>
      </c>
      <c r="J1229" t="n">
        <v>13.7</v>
      </c>
      <c r="K1229">
        <f>IF(IFERROR(INDEX(Spots!$K$2:$K$96,MATCH(A1229,Spots!$A$2:$A$96,0)),"")="","",IFERROR(INDEX(Spots!$K$2:$K$96,MATCH(A1229,Spots!$A$2:$A$96,0)),""))</f>
        <v/>
      </c>
      <c r="L1229" s="3">
        <f>IF(OR(K1229="",F1229=""),"",F1229/1000*K1229*100)</f>
        <v/>
      </c>
      <c r="M1229">
        <f>IF(OR(L1229="",L1229=0),"",ROUND(100/L1229,0))</f>
        <v/>
      </c>
      <c r="N1229" t="inlineStr">
        <is>
          <t>low sample</t>
        </is>
      </c>
    </row>
    <row r="1230">
      <c r="A1230" t="n">
        <v>4</v>
      </c>
      <c r="B1230" t="inlineStr">
        <is>
          <t>Tunkuta</t>
        </is>
      </c>
      <c r="C1230" t="inlineStr">
        <is>
          <t>Flame of Despair</t>
        </is>
      </c>
      <c r="D1230" t="n">
        <v>0.01679235</v>
      </c>
      <c r="E1230" t="n">
        <v>4572.4</v>
      </c>
      <c r="F1230" s="3" t="n">
        <v>0.003672546146443881</v>
      </c>
      <c r="G1230" t="n">
        <v>272291</v>
      </c>
      <c r="H1230" s="3" t="n">
        <v>0.000883384220912878</v>
      </c>
      <c r="I1230" s="3" t="n">
        <v>0.009915534694818198</v>
      </c>
      <c r="J1230" t="n">
        <v>3.5</v>
      </c>
      <c r="K1230">
        <f>IF(IFERROR(INDEX(Spots!$K$2:$K$96,MATCH(A1230,Spots!$A$2:$A$96,0)),"")="","",IFERROR(INDEX(Spots!$K$2:$K$96,MATCH(A1230,Spots!$A$2:$A$96,0)),""))</f>
        <v/>
      </c>
      <c r="L1230" s="3">
        <f>IF(OR(K1230="",F1230=""),"",F1230/1000*K1230*100)</f>
        <v/>
      </c>
      <c r="M1230">
        <f>IF(OR(L1230="",L1230=0),"",ROUND(100/L1230,0))</f>
        <v/>
      </c>
      <c r="N1230" t="inlineStr">
        <is>
          <t>low sample</t>
        </is>
      </c>
    </row>
    <row r="1231">
      <c r="A1231" t="n">
        <v>4</v>
      </c>
      <c r="B1231" t="inlineStr">
        <is>
          <t>Tunkuta</t>
        </is>
      </c>
      <c r="C1231" t="inlineStr">
        <is>
          <t>Quturan's Right Lung</t>
        </is>
      </c>
      <c r="D1231" t="n">
        <v>0</v>
      </c>
      <c r="E1231" t="n">
        <v>4572.4</v>
      </c>
      <c r="F1231" s="3" t="n">
        <v>0</v>
      </c>
      <c r="H1231" s="3" t="n">
        <v>0</v>
      </c>
      <c r="I1231" s="3" t="n">
        <v>0.00381705080699842</v>
      </c>
      <c r="J1231" t="n">
        <v>0</v>
      </c>
      <c r="K1231">
        <f>IF(IFERROR(INDEX(Spots!$K$2:$K$96,MATCH(A1231,Spots!$A$2:$A$96,0)),"")="","",IFERROR(INDEX(Spots!$K$2:$K$96,MATCH(A1231,Spots!$A$2:$A$96,0)),""))</f>
        <v/>
      </c>
      <c r="L1231" s="3">
        <f>IF(OR(K1231="",F1231=""),"",F1231/1000*K1231*100)</f>
        <v/>
      </c>
      <c r="M1231">
        <f>IF(OR(L1231="",L1231=0),"",ROUND(100/L1231,0))</f>
        <v/>
      </c>
      <c r="N1231" t="inlineStr">
        <is>
          <t>no drops recorded</t>
        </is>
      </c>
    </row>
    <row r="1232">
      <c r="A1232" t="n">
        <v>168</v>
      </c>
      <c r="B1232" t="inlineStr">
        <is>
          <t>Unlucky Golden Pig Cave</t>
        </is>
      </c>
      <c r="C1232" t="inlineStr">
        <is>
          <t>Ancient Spirit Dust</t>
        </is>
      </c>
      <c r="D1232" t="n">
        <v>34.177</v>
      </c>
      <c r="E1232" t="n">
        <v>8613</v>
      </c>
      <c r="F1232" s="3" t="n">
        <v>3.968071519795658</v>
      </c>
      <c r="G1232" t="n">
        <v>252</v>
      </c>
      <c r="H1232" s="3" t="n">
        <v>3.857668861764603</v>
      </c>
      <c r="I1232" s="3" t="n">
        <v>4.080832219230145</v>
      </c>
      <c r="J1232" t="n">
        <v>4894.1</v>
      </c>
      <c r="K1232">
        <f>IF(IFERROR(INDEX(Spots!$K$2:$K$96,MATCH(A1232,Spots!$A$2:$A$96,0)),"")="","",IFERROR(INDEX(Spots!$K$2:$K$96,MATCH(A1232,Spots!$A$2:$A$96,0)),""))</f>
        <v/>
      </c>
      <c r="L1232" s="3">
        <f>IF(OR(K1232="",F1232=""),"",F1232/1000*K1232*100)</f>
        <v/>
      </c>
      <c r="M1232">
        <f>IF(OR(L1232="",L1232=0),"",ROUND(100/L1232,0))</f>
        <v/>
      </c>
      <c r="N1232" t="inlineStr"/>
    </row>
    <row r="1233">
      <c r="A1233" t="n">
        <v>168</v>
      </c>
      <c r="B1233" t="inlineStr">
        <is>
          <t>Unlucky Golden Pig Cave</t>
        </is>
      </c>
      <c r="C1233" t="inlineStr">
        <is>
          <t>Black Stone</t>
        </is>
      </c>
      <c r="D1233" t="n">
        <v>28.336</v>
      </c>
      <c r="E1233" t="n">
        <v>8613</v>
      </c>
      <c r="F1233" s="3" t="n">
        <v>3.289910600255428</v>
      </c>
      <c r="G1233" t="n">
        <v>304</v>
      </c>
      <c r="H1233" s="3" t="n">
        <v>3.189452839239035</v>
      </c>
      <c r="I1233" s="3" t="n">
        <v>3.39272751115321</v>
      </c>
      <c r="J1233" t="n">
        <v>4057.7</v>
      </c>
      <c r="K1233">
        <f>IF(IFERROR(INDEX(Spots!$K$2:$K$96,MATCH(A1233,Spots!$A$2:$A$96,0)),"")="","",IFERROR(INDEX(Spots!$K$2:$K$96,MATCH(A1233,Spots!$A$2:$A$96,0)),""))</f>
        <v/>
      </c>
      <c r="L1233" s="3">
        <f>IF(OR(K1233="",F1233=""),"",F1233/1000*K1233*100)</f>
        <v/>
      </c>
      <c r="M1233">
        <f>IF(OR(L1233="",L1233=0),"",ROUND(100/L1233,0))</f>
        <v/>
      </c>
      <c r="N1233" t="inlineStr"/>
    </row>
    <row r="1234">
      <c r="A1234" t="n">
        <v>168</v>
      </c>
      <c r="B1234" t="inlineStr">
        <is>
          <t>Unlucky Golden Pig Cave</t>
        </is>
      </c>
      <c r="C1234" t="inlineStr">
        <is>
          <t>Caphras Stone</t>
        </is>
      </c>
      <c r="D1234" t="n">
        <v>6.495094</v>
      </c>
      <c r="E1234" t="n">
        <v>8613</v>
      </c>
      <c r="F1234" s="3" t="n">
        <v>0.7541035643794265</v>
      </c>
      <c r="G1234" t="n">
        <v>1326</v>
      </c>
      <c r="H1234" s="3" t="n">
        <v>0.7064112078924614</v>
      </c>
      <c r="I1234" s="3" t="n">
        <v>0.8041685050835328</v>
      </c>
      <c r="J1234" t="n">
        <v>930.1</v>
      </c>
      <c r="K1234">
        <f>IF(IFERROR(INDEX(Spots!$K$2:$K$96,MATCH(A1234,Spots!$A$2:$A$96,0)),"")="","",IFERROR(INDEX(Spots!$K$2:$K$96,MATCH(A1234,Spots!$A$2:$A$96,0)),""))</f>
        <v/>
      </c>
      <c r="L1234" s="3">
        <f>IF(OR(K1234="",F1234=""),"",F1234/1000*K1234*100)</f>
        <v/>
      </c>
      <c r="M1234">
        <f>IF(OR(L1234="",L1234=0),"",ROUND(100/L1234,0))</f>
        <v/>
      </c>
      <c r="N1234" t="inlineStr"/>
    </row>
    <row r="1235">
      <c r="A1235" t="n">
        <v>168</v>
      </c>
      <c r="B1235" t="inlineStr">
        <is>
          <t>Unlucky Golden Pig Cave</t>
        </is>
      </c>
      <c r="C1235" t="inlineStr">
        <is>
          <t>Essence of Dawn</t>
        </is>
      </c>
      <c r="D1235" t="n">
        <v>1.348349</v>
      </c>
      <c r="E1235" t="n">
        <v>8613</v>
      </c>
      <c r="F1235" s="3" t="n">
        <v>0.1565481249274353</v>
      </c>
      <c r="G1235" t="n">
        <v>6388</v>
      </c>
      <c r="H1235" s="3" t="n">
        <v>0.1352431504819724</v>
      </c>
      <c r="I1235" s="3" t="n">
        <v>0.1802560679290512</v>
      </c>
      <c r="J1235" t="n">
        <v>193.1</v>
      </c>
      <c r="K1235">
        <f>IF(IFERROR(INDEX(Spots!$K$2:$K$96,MATCH(A1235,Spots!$A$2:$A$96,0)),"")="","",IFERROR(INDEX(Spots!$K$2:$K$96,MATCH(A1235,Spots!$A$2:$A$96,0)),""))</f>
        <v/>
      </c>
      <c r="L1235" s="3">
        <f>IF(OR(K1235="",F1235=""),"",F1235/1000*K1235*100)</f>
        <v/>
      </c>
      <c r="M1235">
        <f>IF(OR(L1235="",L1235=0),"",ROUND(100/L1235,0))</f>
        <v/>
      </c>
      <c r="N1235" t="inlineStr"/>
    </row>
    <row r="1236">
      <c r="A1236" t="n">
        <v>168</v>
      </c>
      <c r="B1236" t="inlineStr">
        <is>
          <t>Unlucky Golden Pig Cave</t>
        </is>
      </c>
      <c r="C1236" t="inlineStr">
        <is>
          <t>WON Dawn Crystal - All AP</t>
        </is>
      </c>
      <c r="D1236" t="n">
        <v>0.85014546</v>
      </c>
      <c r="E1236" t="n">
        <v>8613</v>
      </c>
      <c r="F1236" s="3" t="n">
        <v>0.09870491814698712</v>
      </c>
      <c r="G1236" t="n">
        <v>10131</v>
      </c>
      <c r="H1236" s="3" t="n">
        <v>0.08194985830780535</v>
      </c>
      <c r="I1236" s="3" t="n">
        <v>0.1178772131613945</v>
      </c>
      <c r="J1236" t="n">
        <v>121.7</v>
      </c>
      <c r="K1236">
        <f>IF(IFERROR(INDEX(Spots!$K$2:$K$96,MATCH(A1236,Spots!$A$2:$A$96,0)),"")="","",IFERROR(INDEX(Spots!$K$2:$K$96,MATCH(A1236,Spots!$A$2:$A$96,0)),""))</f>
        <v/>
      </c>
      <c r="L1236" s="3">
        <f>IF(OR(K1236="",F1236=""),"",F1236/1000*K1236*100)</f>
        <v/>
      </c>
      <c r="M1236">
        <f>IF(OR(L1236="",L1236=0),"",ROUND(100/L1236,0))</f>
        <v/>
      </c>
      <c r="N1236" t="inlineStr"/>
    </row>
    <row r="1237">
      <c r="A1237" t="n">
        <v>168</v>
      </c>
      <c r="B1237" t="inlineStr">
        <is>
          <t>Unlucky Golden Pig Cave</t>
        </is>
      </c>
      <c r="C1237" t="inlineStr">
        <is>
          <t>Fortunate Golden Pig King Summon Scroll</t>
        </is>
      </c>
      <c r="D1237" t="n">
        <v>0.42226119</v>
      </c>
      <c r="E1237" t="n">
        <v>8613</v>
      </c>
      <c r="F1237" s="3" t="n">
        <v>0.04902602925809822</v>
      </c>
      <c r="G1237" t="n">
        <v>20397</v>
      </c>
      <c r="H1237" s="3" t="n">
        <v>0.03745166499615428</v>
      </c>
      <c r="I1237" s="3" t="n">
        <v>0.06304620608839179</v>
      </c>
      <c r="J1237" t="n">
        <v>60.5</v>
      </c>
      <c r="K1237">
        <f>IF(IFERROR(INDEX(Spots!$K$2:$K$96,MATCH(A1237,Spots!$A$2:$A$96,0)),"")="","",IFERROR(INDEX(Spots!$K$2:$K$96,MATCH(A1237,Spots!$A$2:$A$96,0)),""))</f>
        <v/>
      </c>
      <c r="L1237" s="3">
        <f>IF(OR(K1237="",F1237=""),"",F1237/1000*K1237*100)</f>
        <v/>
      </c>
      <c r="M1237">
        <f>IF(OR(L1237="",L1237=0),"",ROUND(100/L1237,0))</f>
        <v/>
      </c>
      <c r="N1237" t="inlineStr"/>
    </row>
    <row r="1238">
      <c r="A1238" t="n">
        <v>168</v>
      </c>
      <c r="B1238" t="inlineStr">
        <is>
          <t>Unlucky Golden Pig Cave</t>
        </is>
      </c>
      <c r="C1238" t="inlineStr">
        <is>
          <t>Faint Origin of Dark Hunger</t>
        </is>
      </c>
      <c r="D1238" t="n">
        <v>0.06481140000000001</v>
      </c>
      <c r="E1238" t="n">
        <v>8613</v>
      </c>
      <c r="F1238" s="3" t="n">
        <v>0.00752483455242076</v>
      </c>
      <c r="G1238" t="n">
        <v>132893</v>
      </c>
      <c r="H1238" s="3" t="n">
        <v>0.003483371904821313</v>
      </c>
      <c r="I1238" s="3" t="n">
        <v>0.01415162359988651</v>
      </c>
      <c r="J1238" t="n">
        <v>9.300000000000001</v>
      </c>
      <c r="K1238">
        <f>IF(IFERROR(INDEX(Spots!$K$2:$K$96,MATCH(A1238,Spots!$A$2:$A$96,0)),"")="","",IFERROR(INDEX(Spots!$K$2:$K$96,MATCH(A1238,Spots!$A$2:$A$96,0)),""))</f>
        <v/>
      </c>
      <c r="L1238" s="3">
        <f>IF(OR(K1238="",F1238=""),"",F1238/1000*K1238*100)</f>
        <v/>
      </c>
      <c r="M1238">
        <f>IF(OR(L1238="",L1238=0),"",ROUND(100/L1238,0))</f>
        <v/>
      </c>
      <c r="N1238" t="inlineStr">
        <is>
          <t>low sample</t>
        </is>
      </c>
    </row>
    <row r="1239">
      <c r="A1239" t="n">
        <v>168</v>
      </c>
      <c r="B1239" t="inlineStr">
        <is>
          <t>Unlucky Golden Pig Cave</t>
        </is>
      </c>
      <c r="C1239" t="inlineStr">
        <is>
          <t>BON Dawn Crystal - All AP</t>
        </is>
      </c>
      <c r="D1239" t="n">
        <v>0.06253151999999999</v>
      </c>
      <c r="E1239" t="n">
        <v>8613</v>
      </c>
      <c r="F1239" s="3" t="n">
        <v>0.007260132358063392</v>
      </c>
      <c r="G1239" t="n">
        <v>137739</v>
      </c>
      <c r="H1239" s="3" t="n">
        <v>0.003304961263811112</v>
      </c>
      <c r="I1239" s="3" t="n">
        <v>0.01380447759074693</v>
      </c>
      <c r="J1239" t="n">
        <v>9</v>
      </c>
      <c r="K1239">
        <f>IF(IFERROR(INDEX(Spots!$K$2:$K$96,MATCH(A1239,Spots!$A$2:$A$96,0)),"")="","",IFERROR(INDEX(Spots!$K$2:$K$96,MATCH(A1239,Spots!$A$2:$A$96,0)),""))</f>
        <v/>
      </c>
      <c r="L1239" s="3">
        <f>IF(OR(K1239="",F1239=""),"",F1239/1000*K1239*100)</f>
        <v/>
      </c>
      <c r="M1239">
        <f>IF(OR(L1239="",L1239=0),"",ROUND(100/L1239,0))</f>
        <v/>
      </c>
      <c r="N1239" t="inlineStr">
        <is>
          <t>low sample</t>
        </is>
      </c>
    </row>
    <row r="1240">
      <c r="A1240" t="n">
        <v>2</v>
      </c>
      <c r="B1240" t="inlineStr">
        <is>
          <t>Vessel of Inquisition</t>
        </is>
      </c>
      <c r="C1240" t="inlineStr">
        <is>
          <t>Black Stone</t>
        </is>
      </c>
      <c r="D1240" t="n">
        <v>47.785</v>
      </c>
      <c r="E1240" t="n">
        <v>3987.4</v>
      </c>
      <c r="F1240" s="3" t="n">
        <v>11.98399959873602</v>
      </c>
      <c r="G1240" t="n">
        <v>83</v>
      </c>
      <c r="H1240" s="3" t="n">
        <v>11.466381687037</v>
      </c>
      <c r="I1240" s="3" t="n">
        <v>12.51896142732104</v>
      </c>
      <c r="J1240" t="n">
        <v>2014.9</v>
      </c>
      <c r="K1240">
        <f>IF(IFERROR(INDEX(Spots!$K$2:$K$96,MATCH(A1240,Spots!$A$2:$A$96,0)),"")="","",IFERROR(INDEX(Spots!$K$2:$K$96,MATCH(A1240,Spots!$A$2:$A$96,0)),""))</f>
        <v/>
      </c>
      <c r="L1240" s="3">
        <f>IF(OR(K1240="",F1240=""),"",F1240/1000*K1240*100)</f>
        <v/>
      </c>
      <c r="M1240">
        <f>IF(OR(L1240="",L1240=0),"",ROUND(100/L1240,0))</f>
        <v/>
      </c>
      <c r="N1240" t="inlineStr">
        <is>
          <t>low sample</t>
        </is>
      </c>
    </row>
    <row r="1241">
      <c r="A1241" t="n">
        <v>2</v>
      </c>
      <c r="B1241" t="inlineStr">
        <is>
          <t>Vessel of Inquisition</t>
        </is>
      </c>
      <c r="C1241" t="inlineStr">
        <is>
          <t>Ancient Spirit Dust</t>
        </is>
      </c>
      <c r="D1241" t="n">
        <v>21.664</v>
      </c>
      <c r="E1241" t="n">
        <v>3987.4</v>
      </c>
      <c r="F1241" s="3" t="n">
        <v>5.433114310076742</v>
      </c>
      <c r="G1241" t="n">
        <v>184</v>
      </c>
      <c r="H1241" s="3" t="n">
        <v>5.086446928393139</v>
      </c>
      <c r="I1241" s="3" t="n">
        <v>5.797187833832604</v>
      </c>
      <c r="J1241" t="n">
        <v>913.5</v>
      </c>
      <c r="K1241">
        <f>IF(IFERROR(INDEX(Spots!$K$2:$K$96,MATCH(A1241,Spots!$A$2:$A$96,0)),"")="","",IFERROR(INDEX(Spots!$K$2:$K$96,MATCH(A1241,Spots!$A$2:$A$96,0)),""))</f>
        <v/>
      </c>
      <c r="L1241" s="3">
        <f>IF(OR(K1241="",F1241=""),"",F1241/1000*K1241*100)</f>
        <v/>
      </c>
      <c r="M1241">
        <f>IF(OR(L1241="",L1241=0),"",ROUND(100/L1241,0))</f>
        <v/>
      </c>
      <c r="N1241" t="inlineStr">
        <is>
          <t>low sample</t>
        </is>
      </c>
    </row>
    <row r="1242">
      <c r="A1242" t="n">
        <v>2</v>
      </c>
      <c r="B1242" t="inlineStr">
        <is>
          <t>Vessel of Inquisition</t>
        </is>
      </c>
      <c r="C1242" t="inlineStr">
        <is>
          <t>Trace of Nature</t>
        </is>
      </c>
      <c r="D1242" t="n">
        <v>11.546</v>
      </c>
      <c r="E1242" t="n">
        <v>3987.4</v>
      </c>
      <c r="F1242" s="3" t="n">
        <v>2.895621206801424</v>
      </c>
      <c r="G1242" t="n">
        <v>345</v>
      </c>
      <c r="H1242" s="3" t="n">
        <v>2.644080036767018</v>
      </c>
      <c r="I1242" s="3" t="n">
        <v>3.164638576095634</v>
      </c>
      <c r="J1242" t="n">
        <v>486.9</v>
      </c>
      <c r="K1242">
        <f>IF(IFERROR(INDEX(Spots!$K$2:$K$96,MATCH(A1242,Spots!$A$2:$A$96,0)),"")="","",IFERROR(INDEX(Spots!$K$2:$K$96,MATCH(A1242,Spots!$A$2:$A$96,0)),""))</f>
        <v/>
      </c>
      <c r="L1242" s="3">
        <f>IF(OR(K1242="",F1242=""),"",F1242/1000*K1242*100)</f>
        <v/>
      </c>
      <c r="M1242">
        <f>IF(OR(L1242="",L1242=0),"",ROUND(100/L1242,0))</f>
        <v/>
      </c>
      <c r="N1242" t="inlineStr">
        <is>
          <t>low sample</t>
        </is>
      </c>
    </row>
    <row r="1243">
      <c r="A1243" t="n">
        <v>2</v>
      </c>
      <c r="B1243" t="inlineStr">
        <is>
          <t>Vessel of Inquisition</t>
        </is>
      </c>
      <c r="C1243" t="inlineStr">
        <is>
          <t>Caphras Stone</t>
        </is>
      </c>
      <c r="D1243" t="n">
        <v>6.479536</v>
      </c>
      <c r="E1243" t="n">
        <v>3987.4</v>
      </c>
      <c r="F1243" s="3" t="n">
        <v>1.625002758689873</v>
      </c>
      <c r="G1243" t="n">
        <v>615</v>
      </c>
      <c r="H1243" s="3" t="n">
        <v>1.438002850496444</v>
      </c>
      <c r="I1243" s="3" t="n">
        <v>1.829565197084996</v>
      </c>
      <c r="J1243" t="n">
        <v>273.2</v>
      </c>
      <c r="K1243">
        <f>IF(IFERROR(INDEX(Spots!$K$2:$K$96,MATCH(A1243,Spots!$A$2:$A$96,0)),"")="","",IFERROR(INDEX(Spots!$K$2:$K$96,MATCH(A1243,Spots!$A$2:$A$96,0)),""))</f>
        <v/>
      </c>
      <c r="L1243" s="3">
        <f>IF(OR(K1243="",F1243=""),"",F1243/1000*K1243*100)</f>
        <v/>
      </c>
      <c r="M1243">
        <f>IF(OR(L1243="",L1243=0),"",ROUND(100/L1243,0))</f>
        <v/>
      </c>
      <c r="N1243" t="inlineStr">
        <is>
          <t>low sample</t>
        </is>
      </c>
    </row>
    <row r="1244">
      <c r="A1244" t="n">
        <v>2</v>
      </c>
      <c r="B1244" t="inlineStr">
        <is>
          <t>Vessel of Inquisition</t>
        </is>
      </c>
      <c r="C1244" t="inlineStr">
        <is>
          <t>Sealed Black Magic Crystal</t>
        </is>
      </c>
      <c r="D1244" t="n">
        <v>3.424382</v>
      </c>
      <c r="E1244" t="n">
        <v>3987.4</v>
      </c>
      <c r="F1244" s="3" t="n">
        <v>0.8588007222751668</v>
      </c>
      <c r="G1244" t="n">
        <v>1164</v>
      </c>
      <c r="H1244" s="3" t="n">
        <v>0.7244285075725365</v>
      </c>
      <c r="I1244" s="3" t="n">
        <v>1.010863481335632</v>
      </c>
      <c r="J1244" t="n">
        <v>144.4</v>
      </c>
      <c r="K1244">
        <f>IF(IFERROR(INDEX(Spots!$K$2:$K$96,MATCH(A1244,Spots!$A$2:$A$96,0)),"")="","",IFERROR(INDEX(Spots!$K$2:$K$96,MATCH(A1244,Spots!$A$2:$A$96,0)),""))</f>
        <v/>
      </c>
      <c r="L1244" s="3">
        <f>IF(OR(K1244="",F1244=""),"",F1244/1000*K1244*100)</f>
        <v/>
      </c>
      <c r="M1244">
        <f>IF(OR(L1244="",L1244=0),"",ROUND(100/L1244,0))</f>
        <v/>
      </c>
      <c r="N1244" t="inlineStr">
        <is>
          <t>low sample</t>
        </is>
      </c>
    </row>
    <row r="1245">
      <c r="A1245" t="n">
        <v>2</v>
      </c>
      <c r="B1245" t="inlineStr">
        <is>
          <t>Vessel of Inquisition</t>
        </is>
      </c>
      <c r="C1245" t="inlineStr">
        <is>
          <t>Mass of Pure Magic</t>
        </is>
      </c>
      <c r="D1245" t="n">
        <v>1.716406</v>
      </c>
      <c r="E1245" t="n">
        <v>3987.4</v>
      </c>
      <c r="F1245" s="3" t="n">
        <v>0.4304574409389577</v>
      </c>
      <c r="G1245" t="n">
        <v>2323</v>
      </c>
      <c r="H1245" s="3" t="n">
        <v>0.3370190651067219</v>
      </c>
      <c r="I1245" s="3" t="n">
        <v>0.5417768576404325</v>
      </c>
      <c r="J1245" t="n">
        <v>72.40000000000001</v>
      </c>
      <c r="K1245">
        <f>IF(IFERROR(INDEX(Spots!$K$2:$K$96,MATCH(A1245,Spots!$A$2:$A$96,0)),"")="","",IFERROR(INDEX(Spots!$K$2:$K$96,MATCH(A1245,Spots!$A$2:$A$96,0)),""))</f>
        <v/>
      </c>
      <c r="L1245" s="3">
        <f>IF(OR(K1245="",F1245=""),"",F1245/1000*K1245*100)</f>
        <v/>
      </c>
      <c r="M1245">
        <f>IF(OR(L1245="",L1245=0),"",ROUND(100/L1245,0))</f>
        <v/>
      </c>
      <c r="N1245" t="inlineStr">
        <is>
          <t>low sample</t>
        </is>
      </c>
    </row>
    <row r="1246">
      <c r="A1246" t="n">
        <v>2</v>
      </c>
      <c r="B1246" t="inlineStr">
        <is>
          <t>Vessel of Inquisition</t>
        </is>
      </c>
      <c r="C1246" t="inlineStr">
        <is>
          <t>Black Distortion Earring</t>
        </is>
      </c>
      <c r="D1246" t="n">
        <v>0.3597784</v>
      </c>
      <c r="E1246" t="n">
        <v>3987.4</v>
      </c>
      <c r="F1246" s="3" t="n">
        <v>0.09022882078547424</v>
      </c>
      <c r="G1246" t="n">
        <v>11083</v>
      </c>
      <c r="H1246" s="3" t="n">
        <v>0.05065337222644695</v>
      </c>
      <c r="I1246" s="3" t="n">
        <v>0.1484188064774526</v>
      </c>
      <c r="J1246" t="n">
        <v>15.2</v>
      </c>
      <c r="K1246">
        <f>IF(IFERROR(INDEX(Spots!$K$2:$K$96,MATCH(A1246,Spots!$A$2:$A$96,0)),"")="","",IFERROR(INDEX(Spots!$K$2:$K$96,MATCH(A1246,Spots!$A$2:$A$96,0)),""))</f>
        <v/>
      </c>
      <c r="L1246" s="3">
        <f>IF(OR(K1246="",F1246=""),"",F1246/1000*K1246*100)</f>
        <v/>
      </c>
      <c r="M1246">
        <f>IF(OR(L1246="",L1246=0),"",ROUND(100/L1246,0))</f>
        <v/>
      </c>
      <c r="N1246" t="inlineStr">
        <is>
          <t>low sample</t>
        </is>
      </c>
    </row>
    <row r="1247">
      <c r="A1247" t="n">
        <v>2</v>
      </c>
      <c r="B1247" t="inlineStr">
        <is>
          <t>Vessel of Inquisition</t>
        </is>
      </c>
      <c r="C1247" t="inlineStr">
        <is>
          <t>Imperfect Lightstone of Fire</t>
        </is>
      </c>
      <c r="D1247" t="n">
        <v>0.34920076</v>
      </c>
      <c r="E1247" t="n">
        <v>3987.4</v>
      </c>
      <c r="F1247" s="3" t="n">
        <v>0.08757605457190148</v>
      </c>
      <c r="G1247" t="n">
        <v>11419</v>
      </c>
      <c r="H1247" s="3" t="n">
        <v>0.04867527483367955</v>
      </c>
      <c r="I1247" s="3" t="n">
        <v>0.145110762077741</v>
      </c>
      <c r="J1247" t="n">
        <v>14.7</v>
      </c>
      <c r="K1247">
        <f>IF(IFERROR(INDEX(Spots!$K$2:$K$96,MATCH(A1247,Spots!$A$2:$A$96,0)),"")="","",IFERROR(INDEX(Spots!$K$2:$K$96,MATCH(A1247,Spots!$A$2:$A$96,0)),""))</f>
        <v/>
      </c>
      <c r="L1247" s="3">
        <f>IF(OR(K1247="",F1247=""),"",F1247/1000*K1247*100)</f>
        <v/>
      </c>
      <c r="M1247">
        <f>IF(OR(L1247="",L1247=0),"",ROUND(100/L1247,0))</f>
        <v/>
      </c>
      <c r="N1247" t="inlineStr">
        <is>
          <t>low sample</t>
        </is>
      </c>
    </row>
    <row r="1248">
      <c r="A1248" t="n">
        <v>2</v>
      </c>
      <c r="B1248" t="inlineStr">
        <is>
          <t>Vessel of Inquisition</t>
        </is>
      </c>
      <c r="C1248" t="inlineStr">
        <is>
          <t>Clear Blackstar Crystal</t>
        </is>
      </c>
      <c r="D1248" t="n">
        <v>0.26136292</v>
      </c>
      <c r="E1248" t="n">
        <v>3987.4</v>
      </c>
      <c r="F1248" s="3" t="n">
        <v>0.06554720369162863</v>
      </c>
      <c r="G1248" t="n">
        <v>15256</v>
      </c>
      <c r="H1248" s="3" t="n">
        <v>0.03270132678504215</v>
      </c>
      <c r="I1248" s="3" t="n">
        <v>0.1172278605168425</v>
      </c>
      <c r="J1248" t="n">
        <v>11</v>
      </c>
      <c r="K1248">
        <f>IF(IFERROR(INDEX(Spots!$K$2:$K$96,MATCH(A1248,Spots!$A$2:$A$96,0)),"")="","",IFERROR(INDEX(Spots!$K$2:$K$96,MATCH(A1248,Spots!$A$2:$A$96,0)),""))</f>
        <v/>
      </c>
      <c r="L1248" s="3">
        <f>IF(OR(K1248="",F1248=""),"",F1248/1000*K1248*100)</f>
        <v/>
      </c>
      <c r="M1248">
        <f>IF(OR(L1248="",L1248=0),"",ROUND(100/L1248,0))</f>
        <v/>
      </c>
      <c r="N1248" t="inlineStr">
        <is>
          <t>low sample</t>
        </is>
      </c>
    </row>
    <row r="1249">
      <c r="A1249" t="n">
        <v>2</v>
      </c>
      <c r="B1249" t="inlineStr">
        <is>
          <t>Vessel of Inquisition</t>
        </is>
      </c>
      <c r="C1249" t="inlineStr">
        <is>
          <t>Imperfect Lightstone of Wind</t>
        </is>
      </c>
      <c r="D1249" t="n">
        <v>0.11485606</v>
      </c>
      <c r="E1249" t="n">
        <v>3987.4</v>
      </c>
      <c r="F1249" s="3" t="n">
        <v>0.0288047499623815</v>
      </c>
      <c r="G1249" t="n">
        <v>34716</v>
      </c>
      <c r="H1249" s="3" t="n">
        <v>0.009064454023071298</v>
      </c>
      <c r="I1249" s="3" t="n">
        <v>0.06808174556547227</v>
      </c>
      <c r="J1249" t="n">
        <v>4.8</v>
      </c>
      <c r="K1249">
        <f>IF(IFERROR(INDEX(Spots!$K$2:$K$96,MATCH(A1249,Spots!$A$2:$A$96,0)),"")="","",IFERROR(INDEX(Spots!$K$2:$K$96,MATCH(A1249,Spots!$A$2:$A$96,0)),""))</f>
        <v/>
      </c>
      <c r="L1249" s="3">
        <f>IF(OR(K1249="",F1249=""),"",F1249/1000*K1249*100)</f>
        <v/>
      </c>
      <c r="M1249">
        <f>IF(OR(L1249="",L1249=0),"",ROUND(100/L1249,0))</f>
        <v/>
      </c>
      <c r="N1249" t="inlineStr">
        <is>
          <t>low sample</t>
        </is>
      </c>
    </row>
    <row r="1250">
      <c r="A1250" t="n">
        <v>2</v>
      </c>
      <c r="B1250" t="inlineStr">
        <is>
          <t>Vessel of Inquisition</t>
        </is>
      </c>
      <c r="C1250" t="inlineStr">
        <is>
          <t>Any Artifact</t>
        </is>
      </c>
      <c r="D1250" t="n">
        <v>0.10009527</v>
      </c>
      <c r="E1250" t="n">
        <v>3987.4</v>
      </c>
      <c r="F1250" s="3" t="n">
        <v>0.02510289160856698</v>
      </c>
      <c r="G1250" t="n">
        <v>39836</v>
      </c>
      <c r="H1250" s="3" t="n">
        <v>0.007075630992860925</v>
      </c>
      <c r="I1250" s="3" t="n">
        <v>0.06280354282401494</v>
      </c>
      <c r="J1250" t="n">
        <v>4.2</v>
      </c>
      <c r="K1250">
        <f>IF(IFERROR(INDEX(Spots!$K$2:$K$96,MATCH(A1250,Spots!$A$2:$A$96,0)),"")="","",IFERROR(INDEX(Spots!$K$2:$K$96,MATCH(A1250,Spots!$A$2:$A$96,0)),""))</f>
        <v/>
      </c>
      <c r="L1250" s="3">
        <f>IF(OR(K1250="",F1250=""),"",F1250/1000*K1250*100)</f>
        <v/>
      </c>
      <c r="M1250">
        <f>IF(OR(L1250="",L1250=0),"",ROUND(100/L1250,0))</f>
        <v/>
      </c>
      <c r="N1250" t="inlineStr">
        <is>
          <t>low sample</t>
        </is>
      </c>
    </row>
    <row r="1251">
      <c r="A1251" t="n">
        <v>2</v>
      </c>
      <c r="B1251" t="inlineStr">
        <is>
          <t>Vessel of Inquisition</t>
        </is>
      </c>
      <c r="C1251" t="inlineStr">
        <is>
          <t>Imperfect Lightstone of Earth</t>
        </is>
      </c>
      <c r="D1251" t="n">
        <v>0.08871716</v>
      </c>
      <c r="E1251" t="n">
        <v>3987.4</v>
      </c>
      <c r="F1251" s="3" t="n">
        <v>0.02224937553292872</v>
      </c>
      <c r="G1251" t="n">
        <v>44945</v>
      </c>
      <c r="H1251" s="3" t="n">
        <v>0.005630115328750508</v>
      </c>
      <c r="I1251" s="3" t="n">
        <v>0.05866618566849866</v>
      </c>
      <c r="J1251" t="n">
        <v>3.7</v>
      </c>
      <c r="K1251">
        <f>IF(IFERROR(INDEX(Spots!$K$2:$K$96,MATCH(A1251,Spots!$A$2:$A$96,0)),"")="","",IFERROR(INDEX(Spots!$K$2:$K$96,MATCH(A1251,Spots!$A$2:$A$96,0)),""))</f>
        <v/>
      </c>
      <c r="L1251" s="3">
        <f>IF(OR(K1251="",F1251=""),"",F1251/1000*K1251*100)</f>
        <v/>
      </c>
      <c r="M1251">
        <f>IF(OR(L1251="",L1251=0),"",ROUND(100/L1251,0))</f>
        <v/>
      </c>
      <c r="N1251" t="inlineStr">
        <is>
          <t>low sample</t>
        </is>
      </c>
    </row>
    <row r="1252">
      <c r="A1252" t="n">
        <v>117</v>
      </c>
      <c r="B1252" t="inlineStr">
        <is>
          <t>Vessel of Inquisition Pillars</t>
        </is>
      </c>
      <c r="C1252" t="inlineStr">
        <is>
          <t>Black Stone</t>
        </is>
      </c>
      <c r="D1252" t="n">
        <v>53.3</v>
      </c>
      <c r="E1252" t="n">
        <v>5405.6</v>
      </c>
      <c r="F1252" s="3" t="n">
        <v>9.860145034778746</v>
      </c>
      <c r="G1252" t="n">
        <v>101</v>
      </c>
      <c r="H1252" s="3" t="n">
        <v>9.525811414512368</v>
      </c>
      <c r="I1252" s="3" t="n">
        <v>10.20321736449958</v>
      </c>
      <c r="J1252" t="n">
        <v>3285.1</v>
      </c>
      <c r="K1252">
        <f>IF(IFERROR(INDEX(Spots!$K$2:$K$96,MATCH(A1252,Spots!$A$2:$A$96,0)),"")="","",IFERROR(INDEX(Spots!$K$2:$K$96,MATCH(A1252,Spots!$A$2:$A$96,0)),""))</f>
        <v/>
      </c>
      <c r="L1252" s="3">
        <f>IF(OR(K1252="",F1252=""),"",F1252/1000*K1252*100)</f>
        <v/>
      </c>
      <c r="M1252">
        <f>IF(OR(L1252="",L1252=0),"",ROUND(100/L1252,0))</f>
        <v/>
      </c>
      <c r="N1252" t="inlineStr"/>
    </row>
    <row r="1253">
      <c r="A1253" t="n">
        <v>117</v>
      </c>
      <c r="B1253" t="inlineStr">
        <is>
          <t>Vessel of Inquisition Pillars</t>
        </is>
      </c>
      <c r="C1253" t="inlineStr">
        <is>
          <t>Ancient Spirit Dust</t>
        </is>
      </c>
      <c r="D1253" t="n">
        <v>18.467</v>
      </c>
      <c r="E1253" t="n">
        <v>5405.6</v>
      </c>
      <c r="F1253" s="3" t="n">
        <v>3.416272014207488</v>
      </c>
      <c r="G1253" t="n">
        <v>293</v>
      </c>
      <c r="H1253" s="3" t="n">
        <v>3.220655216686799</v>
      </c>
      <c r="I1253" s="3" t="n">
        <v>3.620663016026584</v>
      </c>
      <c r="J1253" t="n">
        <v>1138.2</v>
      </c>
      <c r="K1253">
        <f>IF(IFERROR(INDEX(Spots!$K$2:$K$96,MATCH(A1253,Spots!$A$2:$A$96,0)),"")="","",IFERROR(INDEX(Spots!$K$2:$K$96,MATCH(A1253,Spots!$A$2:$A$96,0)),""))</f>
        <v/>
      </c>
      <c r="L1253" s="3">
        <f>IF(OR(K1253="",F1253=""),"",F1253/1000*K1253*100)</f>
        <v/>
      </c>
      <c r="M1253">
        <f>IF(OR(L1253="",L1253=0),"",ROUND(100/L1253,0))</f>
        <v/>
      </c>
      <c r="N1253" t="inlineStr"/>
    </row>
    <row r="1254">
      <c r="A1254" t="n">
        <v>117</v>
      </c>
      <c r="B1254" t="inlineStr">
        <is>
          <t>Vessel of Inquisition Pillars</t>
        </is>
      </c>
      <c r="C1254" t="inlineStr">
        <is>
          <t>Trace of Nature</t>
        </is>
      </c>
      <c r="D1254" t="n">
        <v>15.317</v>
      </c>
      <c r="E1254" t="n">
        <v>5405.6</v>
      </c>
      <c r="F1254" s="3" t="n">
        <v>2.833542992452271</v>
      </c>
      <c r="G1254" t="n">
        <v>353</v>
      </c>
      <c r="H1254" s="3" t="n">
        <v>2.655645632369455</v>
      </c>
      <c r="I1254" s="3" t="n">
        <v>3.02022298504648</v>
      </c>
      <c r="J1254" t="n">
        <v>944</v>
      </c>
      <c r="K1254">
        <f>IF(IFERROR(INDEX(Spots!$K$2:$K$96,MATCH(A1254,Spots!$A$2:$A$96,0)),"")="","",IFERROR(INDEX(Spots!$K$2:$K$96,MATCH(A1254,Spots!$A$2:$A$96,0)),""))</f>
        <v/>
      </c>
      <c r="L1254" s="3">
        <f>IF(OR(K1254="",F1254=""),"",F1254/1000*K1254*100)</f>
        <v/>
      </c>
      <c r="M1254">
        <f>IF(OR(L1254="",L1254=0),"",ROUND(100/L1254,0))</f>
        <v/>
      </c>
      <c r="N1254" t="inlineStr"/>
    </row>
    <row r="1255">
      <c r="A1255" t="n">
        <v>117</v>
      </c>
      <c r="B1255" t="inlineStr">
        <is>
          <t>Vessel of Inquisition Pillars</t>
        </is>
      </c>
      <c r="C1255" t="inlineStr">
        <is>
          <t>Caphras Stone</t>
        </is>
      </c>
      <c r="D1255" t="n">
        <v>6.670103</v>
      </c>
      <c r="E1255" t="n">
        <v>5405.6</v>
      </c>
      <c r="F1255" s="3" t="n">
        <v>1.233924633713186</v>
      </c>
      <c r="G1255" t="n">
        <v>810</v>
      </c>
      <c r="H1255" s="3" t="n">
        <v>1.117509268216206</v>
      </c>
      <c r="I1255" s="3" t="n">
        <v>1.359171062575183</v>
      </c>
      <c r="J1255" t="n">
        <v>411.1</v>
      </c>
      <c r="K1255">
        <f>IF(IFERROR(INDEX(Spots!$K$2:$K$96,MATCH(A1255,Spots!$A$2:$A$96,0)),"")="","",IFERROR(INDEX(Spots!$K$2:$K$96,MATCH(A1255,Spots!$A$2:$A$96,0)),""))</f>
        <v/>
      </c>
      <c r="L1255" s="3">
        <f>IF(OR(K1255="",F1255=""),"",F1255/1000*K1255*100)</f>
        <v/>
      </c>
      <c r="M1255">
        <f>IF(OR(L1255="",L1255=0),"",ROUND(100/L1255,0))</f>
        <v/>
      </c>
      <c r="N1255" t="inlineStr"/>
    </row>
    <row r="1256">
      <c r="A1256" t="n">
        <v>117</v>
      </c>
      <c r="B1256" t="inlineStr">
        <is>
          <t>Vessel of Inquisition Pillars</t>
        </is>
      </c>
      <c r="C1256" t="inlineStr">
        <is>
          <t>Sealed Black Magic Crystal</t>
        </is>
      </c>
      <c r="D1256" t="n">
        <v>4.427821</v>
      </c>
      <c r="E1256" t="n">
        <v>5405.6</v>
      </c>
      <c r="F1256" s="3" t="n">
        <v>0.8191173967737161</v>
      </c>
      <c r="G1256" t="n">
        <v>1221</v>
      </c>
      <c r="H1256" s="3" t="n">
        <v>0.7248026976646241</v>
      </c>
      <c r="I1256" s="3" t="n">
        <v>0.9222953163344336</v>
      </c>
      <c r="J1256" t="n">
        <v>272.9</v>
      </c>
      <c r="K1256">
        <f>IF(IFERROR(INDEX(Spots!$K$2:$K$96,MATCH(A1256,Spots!$A$2:$A$96,0)),"")="","",IFERROR(INDEX(Spots!$K$2:$K$96,MATCH(A1256,Spots!$A$2:$A$96,0)),""))</f>
        <v/>
      </c>
      <c r="L1256" s="3">
        <f>IF(OR(K1256="",F1256=""),"",F1256/1000*K1256*100)</f>
        <v/>
      </c>
      <c r="M1256">
        <f>IF(OR(L1256="",L1256=0),"",ROUND(100/L1256,0))</f>
        <v/>
      </c>
      <c r="N1256" t="inlineStr"/>
    </row>
    <row r="1257">
      <c r="A1257" t="n">
        <v>117</v>
      </c>
      <c r="B1257" t="inlineStr">
        <is>
          <t>Vessel of Inquisition Pillars</t>
        </is>
      </c>
      <c r="C1257" t="inlineStr">
        <is>
          <t>Mass of Pure Magic</t>
        </is>
      </c>
      <c r="D1257" t="n">
        <v>3.283607</v>
      </c>
      <c r="E1257" t="n">
        <v>5405.6</v>
      </c>
      <c r="F1257" s="3" t="n">
        <v>0.6074454269646292</v>
      </c>
      <c r="G1257" t="n">
        <v>1646</v>
      </c>
      <c r="H1257" s="3" t="n">
        <v>0.5266287087960514</v>
      </c>
      <c r="I1257" s="3" t="n">
        <v>0.6971532085179313</v>
      </c>
      <c r="J1257" t="n">
        <v>202.4</v>
      </c>
      <c r="K1257">
        <f>IF(IFERROR(INDEX(Spots!$K$2:$K$96,MATCH(A1257,Spots!$A$2:$A$96,0)),"")="","",IFERROR(INDEX(Spots!$K$2:$K$96,MATCH(A1257,Spots!$A$2:$A$96,0)),""))</f>
        <v/>
      </c>
      <c r="L1257" s="3">
        <f>IF(OR(K1257="",F1257=""),"",F1257/1000*K1257*100)</f>
        <v/>
      </c>
      <c r="M1257">
        <f>IF(OR(L1257="",L1257=0),"",ROUND(100/L1257,0))</f>
        <v/>
      </c>
      <c r="N1257" t="inlineStr"/>
    </row>
    <row r="1258">
      <c r="A1258" t="n">
        <v>117</v>
      </c>
      <c r="B1258" t="inlineStr">
        <is>
          <t>Vessel of Inquisition Pillars</t>
        </is>
      </c>
      <c r="C1258" t="inlineStr">
        <is>
          <t>Imperfect Lightstone of Fire</t>
        </is>
      </c>
      <c r="D1258" t="n">
        <v>0.50270976</v>
      </c>
      <c r="E1258" t="n">
        <v>5405.6</v>
      </c>
      <c r="F1258" s="3" t="n">
        <v>0.09299795767352376</v>
      </c>
      <c r="G1258" t="n">
        <v>10753</v>
      </c>
      <c r="H1258" s="3" t="n">
        <v>0.0631685026308694</v>
      </c>
      <c r="I1258" s="3" t="n">
        <v>0.1320204762054231</v>
      </c>
      <c r="J1258" t="n">
        <v>31</v>
      </c>
      <c r="K1258">
        <f>IF(IFERROR(INDEX(Spots!$K$2:$K$96,MATCH(A1258,Spots!$A$2:$A$96,0)),"")="","",IFERROR(INDEX(Spots!$K$2:$K$96,MATCH(A1258,Spots!$A$2:$A$96,0)),""))</f>
        <v/>
      </c>
      <c r="L1258" s="3">
        <f>IF(OR(K1258="",F1258=""),"",F1258/1000*K1258*100)</f>
        <v/>
      </c>
      <c r="M1258">
        <f>IF(OR(L1258="",L1258=0),"",ROUND(100/L1258,0))</f>
        <v/>
      </c>
      <c r="N1258" t="inlineStr"/>
    </row>
    <row r="1259">
      <c r="A1259" t="n">
        <v>117</v>
      </c>
      <c r="B1259" t="inlineStr">
        <is>
          <t>Vessel of Inquisition Pillars</t>
        </is>
      </c>
      <c r="C1259" t="inlineStr">
        <is>
          <t>Black Distortion Earring</t>
        </is>
      </c>
      <c r="D1259" t="n">
        <v>0.37709857</v>
      </c>
      <c r="E1259" t="n">
        <v>5405.6</v>
      </c>
      <c r="F1259" s="3" t="n">
        <v>0.0697607240639337</v>
      </c>
      <c r="G1259" t="n">
        <v>14335</v>
      </c>
      <c r="H1259" s="3" t="n">
        <v>0.0443253929305668</v>
      </c>
      <c r="I1259" s="3" t="n">
        <v>0.1044627120394285</v>
      </c>
      <c r="J1259" t="n">
        <v>23.2</v>
      </c>
      <c r="K1259">
        <f>IF(IFERROR(INDEX(Spots!$K$2:$K$96,MATCH(A1259,Spots!$A$2:$A$96,0)),"")="","",IFERROR(INDEX(Spots!$K$2:$K$96,MATCH(A1259,Spots!$A$2:$A$96,0)),""))</f>
        <v/>
      </c>
      <c r="L1259" s="3">
        <f>IF(OR(K1259="",F1259=""),"",F1259/1000*K1259*100)</f>
        <v/>
      </c>
      <c r="M1259">
        <f>IF(OR(L1259="",L1259=0),"",ROUND(100/L1259,0))</f>
        <v/>
      </c>
      <c r="N1259" t="inlineStr">
        <is>
          <t>low sample</t>
        </is>
      </c>
    </row>
    <row r="1260">
      <c r="A1260" t="n">
        <v>117</v>
      </c>
      <c r="B1260" t="inlineStr">
        <is>
          <t>Vessel of Inquisition Pillars</t>
        </is>
      </c>
      <c r="C1260" t="inlineStr">
        <is>
          <t>Clear Blackstar Crystal</t>
        </is>
      </c>
      <c r="D1260" t="n">
        <v>0.24464354</v>
      </c>
      <c r="E1260" t="n">
        <v>5405.6</v>
      </c>
      <c r="F1260" s="3" t="n">
        <v>0.04525742563267722</v>
      </c>
      <c r="G1260" t="n">
        <v>22096</v>
      </c>
      <c r="H1260" s="3" t="n">
        <v>0.02535541335655327</v>
      </c>
      <c r="I1260" s="3" t="n">
        <v>0.07455545881829305</v>
      </c>
      <c r="J1260" t="n">
        <v>15.1</v>
      </c>
      <c r="K1260">
        <f>IF(IFERROR(INDEX(Spots!$K$2:$K$96,MATCH(A1260,Spots!$A$2:$A$96,0)),"")="","",IFERROR(INDEX(Spots!$K$2:$K$96,MATCH(A1260,Spots!$A$2:$A$96,0)),""))</f>
        <v/>
      </c>
      <c r="L1260" s="3">
        <f>IF(OR(K1260="",F1260=""),"",F1260/1000*K1260*100)</f>
        <v/>
      </c>
      <c r="M1260">
        <f>IF(OR(L1260="",L1260=0),"",ROUND(100/L1260,0))</f>
        <v/>
      </c>
      <c r="N1260" t="inlineStr">
        <is>
          <t>low sample</t>
        </is>
      </c>
    </row>
    <row r="1261">
      <c r="A1261" t="n">
        <v>117</v>
      </c>
      <c r="B1261" t="inlineStr">
        <is>
          <t>Vessel of Inquisition Pillars</t>
        </is>
      </c>
      <c r="C1261" t="inlineStr">
        <is>
          <t>Any Artifact</t>
        </is>
      </c>
      <c r="D1261" t="n">
        <v>0.19047492</v>
      </c>
      <c r="E1261" t="n">
        <v>5405.6</v>
      </c>
      <c r="F1261" s="3" t="n">
        <v>0.03523659168269942</v>
      </c>
      <c r="G1261" t="n">
        <v>28380</v>
      </c>
      <c r="H1261" s="3" t="n">
        <v>0.01803126384121824</v>
      </c>
      <c r="I1261" s="3" t="n">
        <v>0.06192398843811413</v>
      </c>
      <c r="J1261" t="n">
        <v>11.7</v>
      </c>
      <c r="K1261">
        <f>IF(IFERROR(INDEX(Spots!$K$2:$K$96,MATCH(A1261,Spots!$A$2:$A$96,0)),"")="","",IFERROR(INDEX(Spots!$K$2:$K$96,MATCH(A1261,Spots!$A$2:$A$96,0)),""))</f>
        <v/>
      </c>
      <c r="L1261" s="3">
        <f>IF(OR(K1261="",F1261=""),"",F1261/1000*K1261*100)</f>
        <v/>
      </c>
      <c r="M1261">
        <f>IF(OR(L1261="",L1261=0),"",ROUND(100/L1261,0))</f>
        <v/>
      </c>
      <c r="N1261" t="inlineStr">
        <is>
          <t>low sample</t>
        </is>
      </c>
    </row>
    <row r="1262">
      <c r="A1262" t="n">
        <v>117</v>
      </c>
      <c r="B1262" t="inlineStr">
        <is>
          <t>Vessel of Inquisition Pillars</t>
        </is>
      </c>
      <c r="C1262" t="inlineStr">
        <is>
          <t>Imperfect Lightstone of Earth</t>
        </is>
      </c>
      <c r="D1262" t="n">
        <v>0.06393899</v>
      </c>
      <c r="E1262" t="n">
        <v>5405.6</v>
      </c>
      <c r="F1262" s="3" t="n">
        <v>0.01182828733165606</v>
      </c>
      <c r="G1262" t="n">
        <v>84543</v>
      </c>
      <c r="H1262" s="3" t="n">
        <v>0.003140013116608259</v>
      </c>
      <c r="I1262" s="3" t="n">
        <v>0.03048034223776643</v>
      </c>
      <c r="J1262" t="n">
        <v>3.9</v>
      </c>
      <c r="K1262">
        <f>IF(IFERROR(INDEX(Spots!$K$2:$K$96,MATCH(A1262,Spots!$A$2:$A$96,0)),"")="","",IFERROR(INDEX(Spots!$K$2:$K$96,MATCH(A1262,Spots!$A$2:$A$96,0)),""))</f>
        <v/>
      </c>
      <c r="L1262" s="3">
        <f>IF(OR(K1262="",F1262=""),"",F1262/1000*K1262*100)</f>
        <v/>
      </c>
      <c r="M1262">
        <f>IF(OR(L1262="",L1262=0),"",ROUND(100/L1262,0))</f>
        <v/>
      </c>
      <c r="N1262" t="inlineStr">
        <is>
          <t>low sample</t>
        </is>
      </c>
    </row>
    <row r="1263">
      <c r="A1263" t="n">
        <v>117</v>
      </c>
      <c r="B1263" t="inlineStr">
        <is>
          <t>Vessel of Inquisition Pillars</t>
        </is>
      </c>
      <c r="C1263" t="inlineStr">
        <is>
          <t>Imperfect Lightstone of Wind</t>
        </is>
      </c>
      <c r="D1263" t="n">
        <v>0.06002046</v>
      </c>
      <c r="E1263" t="n">
        <v>5405.6</v>
      </c>
      <c r="F1263" s="3" t="n">
        <v>0.01110338537812639</v>
      </c>
      <c r="G1263" t="n">
        <v>90063</v>
      </c>
      <c r="H1263" s="3" t="n">
        <v>0.002780048130309012</v>
      </c>
      <c r="I1263" s="3" t="n">
        <v>0.02942367926182252</v>
      </c>
      <c r="J1263" t="n">
        <v>3.7</v>
      </c>
      <c r="K1263">
        <f>IF(IFERROR(INDEX(Spots!$K$2:$K$96,MATCH(A1263,Spots!$A$2:$A$96,0)),"")="","",IFERROR(INDEX(Spots!$K$2:$K$96,MATCH(A1263,Spots!$A$2:$A$96,0)),""))</f>
        <v/>
      </c>
      <c r="L1263" s="3">
        <f>IF(OR(K1263="",F1263=""),"",F1263/1000*K1263*100)</f>
        <v/>
      </c>
      <c r="M1263">
        <f>IF(OR(L1263="",L1263=0),"",ROUND(100/L1263,0))</f>
        <v/>
      </c>
      <c r="N1263" t="inlineStr">
        <is>
          <t>low sample</t>
        </is>
      </c>
    </row>
    <row r="1264">
      <c r="A1264" t="n">
        <v>88</v>
      </c>
      <c r="B1264" t="inlineStr">
        <is>
          <t>Waragon Nest</t>
        </is>
      </c>
      <c r="C1264" t="inlineStr">
        <is>
          <t>Black Stone</t>
        </is>
      </c>
      <c r="D1264" t="n">
        <v>155.52</v>
      </c>
      <c r="E1264" t="n">
        <v>23487</v>
      </c>
      <c r="F1264" s="3" t="n">
        <v>6.621535317409631</v>
      </c>
      <c r="G1264" t="n">
        <v>151</v>
      </c>
      <c r="H1264" s="3" t="n">
        <v>5.906002088736896</v>
      </c>
      <c r="I1264" s="3" t="n">
        <v>7.399853514224979</v>
      </c>
      <c r="J1264" t="n">
        <v>311</v>
      </c>
      <c r="K1264">
        <f>IF(IFERROR(INDEX(Spots!$K$2:$K$96,MATCH(A1264,Spots!$A$2:$A$96,0)),"")="","",IFERROR(INDEX(Spots!$K$2:$K$96,MATCH(A1264,Spots!$A$2:$A$96,0)),""))</f>
        <v/>
      </c>
      <c r="L1264" s="3">
        <f>IF(OR(K1264="",F1264=""),"",F1264/1000*K1264*100)</f>
        <v/>
      </c>
      <c r="M1264">
        <f>IF(OR(L1264="",L1264=0),"",ROUND(100/L1264,0))</f>
        <v/>
      </c>
      <c r="N1264" t="inlineStr">
        <is>
          <t>low sample</t>
        </is>
      </c>
    </row>
    <row r="1265">
      <c r="A1265" t="n">
        <v>88</v>
      </c>
      <c r="B1265" t="inlineStr">
        <is>
          <t>Waragon Nest</t>
        </is>
      </c>
      <c r="C1265" t="inlineStr">
        <is>
          <t>Scroll Written in Ancient Language</t>
        </is>
      </c>
      <c r="D1265" t="n">
        <v>22.001</v>
      </c>
      <c r="E1265" t="n">
        <v>23487</v>
      </c>
      <c r="F1265" s="3" t="n">
        <v>0.9367309575509858</v>
      </c>
      <c r="G1265" t="n">
        <v>1068</v>
      </c>
      <c r="H1265" s="3" t="n">
        <v>0.6805654269635687</v>
      </c>
      <c r="I1265" s="3" t="n">
        <v>1.257545794870958</v>
      </c>
      <c r="J1265" t="n">
        <v>44</v>
      </c>
      <c r="K1265">
        <f>IF(IFERROR(INDEX(Spots!$K$2:$K$96,MATCH(A1265,Spots!$A$2:$A$96,0)),"")="","",IFERROR(INDEX(Spots!$K$2:$K$96,MATCH(A1265,Spots!$A$2:$A$96,0)),""))</f>
        <v/>
      </c>
      <c r="L1265" s="3">
        <f>IF(OR(K1265="",F1265=""),"",F1265/1000*K1265*100)</f>
        <v/>
      </c>
      <c r="M1265">
        <f>IF(OR(L1265="",L1265=0),"",ROUND(100/L1265,0))</f>
        <v/>
      </c>
      <c r="N1265" t="inlineStr">
        <is>
          <t>low sample</t>
        </is>
      </c>
    </row>
    <row r="1266">
      <c r="A1266" t="n">
        <v>88</v>
      </c>
      <c r="B1266" t="inlineStr">
        <is>
          <t>Waragon Nest</t>
        </is>
      </c>
      <c r="C1266" t="inlineStr">
        <is>
          <t>Caphras Stone</t>
        </is>
      </c>
      <c r="D1266" t="n">
        <v>19.615</v>
      </c>
      <c r="E1266" t="n">
        <v>23487</v>
      </c>
      <c r="F1266" s="3" t="n">
        <v>0.835142844978073</v>
      </c>
      <c r="G1266" t="n">
        <v>1197</v>
      </c>
      <c r="H1266" s="3" t="n">
        <v>0.5944394305375309</v>
      </c>
      <c r="I1266" s="3" t="n">
        <v>1.140666989265948</v>
      </c>
      <c r="J1266" t="n">
        <v>39.2</v>
      </c>
      <c r="K1266">
        <f>IF(IFERROR(INDEX(Spots!$K$2:$K$96,MATCH(A1266,Spots!$A$2:$A$96,0)),"")="","",IFERROR(INDEX(Spots!$K$2:$K$96,MATCH(A1266,Spots!$A$2:$A$96,0)),""))</f>
        <v/>
      </c>
      <c r="L1266" s="3">
        <f>IF(OR(K1266="",F1266=""),"",F1266/1000*K1266*100)</f>
        <v/>
      </c>
      <c r="M1266">
        <f>IF(OR(L1266="",L1266=0),"",ROUND(100/L1266,0))</f>
        <v/>
      </c>
      <c r="N1266" t="inlineStr">
        <is>
          <t>low sample</t>
        </is>
      </c>
    </row>
    <row r="1267">
      <c r="A1267" t="n">
        <v>88</v>
      </c>
      <c r="B1267" t="inlineStr">
        <is>
          <t>Waragon Nest</t>
        </is>
      </c>
      <c r="C1267" t="inlineStr">
        <is>
          <t>Sealed Black Magic Crystal</t>
        </is>
      </c>
      <c r="D1267" t="n">
        <v>19.16</v>
      </c>
      <c r="E1267" t="n">
        <v>23487</v>
      </c>
      <c r="F1267" s="3" t="n">
        <v>0.8157704261932133</v>
      </c>
      <c r="G1267" t="n">
        <v>1226</v>
      </c>
      <c r="H1267" s="3" t="n">
        <v>0.5781207538473513</v>
      </c>
      <c r="I1267" s="3" t="n">
        <v>1.11827698567849</v>
      </c>
      <c r="J1267" t="n">
        <v>38.3</v>
      </c>
      <c r="K1267">
        <f>IF(IFERROR(INDEX(Spots!$K$2:$K$96,MATCH(A1267,Spots!$A$2:$A$96,0)),"")="","",IFERROR(INDEX(Spots!$K$2:$K$96,MATCH(A1267,Spots!$A$2:$A$96,0)),""))</f>
        <v/>
      </c>
      <c r="L1267" s="3">
        <f>IF(OR(K1267="",F1267=""),"",F1267/1000*K1267*100)</f>
        <v/>
      </c>
      <c r="M1267">
        <f>IF(OR(L1267="",L1267=0),"",ROUND(100/L1267,0))</f>
        <v/>
      </c>
      <c r="N1267" t="inlineStr">
        <is>
          <t>low sample</t>
        </is>
      </c>
    </row>
    <row r="1268">
      <c r="A1268" t="n">
        <v>88</v>
      </c>
      <c r="B1268" t="inlineStr">
        <is>
          <t>Waragon Nest</t>
        </is>
      </c>
      <c r="C1268" t="inlineStr">
        <is>
          <t>Ancient Spirit Dust</t>
        </is>
      </c>
      <c r="D1268" t="n">
        <v>15.865</v>
      </c>
      <c r="E1268" t="n">
        <v>23487</v>
      </c>
      <c r="F1268" s="3" t="n">
        <v>0.6754800527951633</v>
      </c>
      <c r="G1268" t="n">
        <v>1480</v>
      </c>
      <c r="H1268" s="3" t="n">
        <v>0.4611274725932543</v>
      </c>
      <c r="I1268" s="3" t="n">
        <v>0.9549945123013919</v>
      </c>
      <c r="J1268" t="n">
        <v>31.7</v>
      </c>
      <c r="K1268">
        <f>IF(IFERROR(INDEX(Spots!$K$2:$K$96,MATCH(A1268,Spots!$A$2:$A$96,0)),"")="","",IFERROR(INDEX(Spots!$K$2:$K$96,MATCH(A1268,Spots!$A$2:$A$96,0)),""))</f>
        <v/>
      </c>
      <c r="L1268" s="3">
        <f>IF(OR(K1268="",F1268=""),"",F1268/1000*K1268*100)</f>
        <v/>
      </c>
      <c r="M1268">
        <f>IF(OR(L1268="",L1268=0),"",ROUND(100/L1268,0))</f>
        <v/>
      </c>
      <c r="N1268" t="inlineStr">
        <is>
          <t>low sample</t>
        </is>
      </c>
    </row>
    <row r="1269">
      <c r="A1269" t="n">
        <v>88</v>
      </c>
      <c r="B1269" t="inlineStr">
        <is>
          <t>Waragon Nest</t>
        </is>
      </c>
      <c r="C1269" t="inlineStr">
        <is>
          <t>Rocaba Defense Gear Box</t>
        </is>
      </c>
      <c r="D1269" t="n">
        <v>14.501</v>
      </c>
      <c r="E1269" t="n">
        <v>23487</v>
      </c>
      <c r="F1269" s="3" t="n">
        <v>0.6174053731851663</v>
      </c>
      <c r="G1269" t="n">
        <v>1620</v>
      </c>
      <c r="H1269" s="3" t="n">
        <v>0.4134036286447449</v>
      </c>
      <c r="I1269" s="3" t="n">
        <v>0.8867235556238032</v>
      </c>
      <c r="J1269" t="n">
        <v>29</v>
      </c>
      <c r="K1269">
        <f>IF(IFERROR(INDEX(Spots!$K$2:$K$96,MATCH(A1269,Spots!$A$2:$A$96,0)),"")="","",IFERROR(INDEX(Spots!$K$2:$K$96,MATCH(A1269,Spots!$A$2:$A$96,0)),""))</f>
        <v/>
      </c>
      <c r="L1269" s="3">
        <f>IF(OR(K1269="",F1269=""),"",F1269/1000*K1269*100)</f>
        <v/>
      </c>
      <c r="M1269">
        <f>IF(OR(L1269="",L1269=0),"",ROUND(100/L1269,0))</f>
        <v/>
      </c>
      <c r="N1269" t="inlineStr">
        <is>
          <t>low sample</t>
        </is>
      </c>
    </row>
    <row r="1270">
      <c r="A1270" t="n">
        <v>88</v>
      </c>
      <c r="B1270" t="inlineStr">
        <is>
          <t>Waragon Nest</t>
        </is>
      </c>
      <c r="C1270" t="inlineStr">
        <is>
          <t>Yona's Fragment</t>
        </is>
      </c>
      <c r="D1270" t="n">
        <v>13.819</v>
      </c>
      <c r="E1270" t="n">
        <v>23487</v>
      </c>
      <c r="F1270" s="3" t="n">
        <v>0.5883680333801679</v>
      </c>
      <c r="G1270" t="n">
        <v>1700</v>
      </c>
      <c r="H1270" s="3" t="n">
        <v>0.3897250343071046</v>
      </c>
      <c r="I1270" s="3" t="n">
        <v>0.8524128521919965</v>
      </c>
      <c r="J1270" t="n">
        <v>27.6</v>
      </c>
      <c r="K1270">
        <f>IF(IFERROR(INDEX(Spots!$K$2:$K$96,MATCH(A1270,Spots!$A$2:$A$96,0)),"")="","",IFERROR(INDEX(Spots!$K$2:$K$96,MATCH(A1270,Spots!$A$2:$A$96,0)),""))</f>
        <v/>
      </c>
      <c r="L1270" s="3">
        <f>IF(OR(K1270="",F1270=""),"",F1270/1000*K1270*100)</f>
        <v/>
      </c>
      <c r="M1270">
        <f>IF(OR(L1270="",L1270=0),"",ROUND(100/L1270,0))</f>
        <v/>
      </c>
      <c r="N1270" t="inlineStr">
        <is>
          <t>low sample</t>
        </is>
      </c>
    </row>
    <row r="1271">
      <c r="A1271" t="n">
        <v>88</v>
      </c>
      <c r="B1271" t="inlineStr">
        <is>
          <t>Waragon Nest</t>
        </is>
      </c>
      <c r="C1271" t="inlineStr">
        <is>
          <t>Mass of Pure Magic</t>
        </is>
      </c>
      <c r="D1271" t="n">
        <v>0.909091</v>
      </c>
      <c r="E1271" t="n">
        <v>23487</v>
      </c>
      <c r="F1271" s="3" t="n">
        <v>0.03870613530889428</v>
      </c>
      <c r="G1271" t="n">
        <v>25836</v>
      </c>
      <c r="H1271" s="3" t="n">
        <v>0.003630708765843442</v>
      </c>
      <c r="I1271" s="3" t="n">
        <v>0.1475280743661367</v>
      </c>
      <c r="J1271" t="n">
        <v>1.8</v>
      </c>
      <c r="K1271">
        <f>IF(IFERROR(INDEX(Spots!$K$2:$K$96,MATCH(A1271,Spots!$A$2:$A$96,0)),"")="","",IFERROR(INDEX(Spots!$K$2:$K$96,MATCH(A1271,Spots!$A$2:$A$96,0)),""))</f>
        <v/>
      </c>
      <c r="L1271" s="3">
        <f>IF(OR(K1271="",F1271=""),"",F1271/1000*K1271*100)</f>
        <v/>
      </c>
      <c r="M1271">
        <f>IF(OR(L1271="",L1271=0),"",ROUND(100/L1271,0))</f>
        <v/>
      </c>
      <c r="N1271" t="inlineStr">
        <is>
          <t>low sample</t>
        </is>
      </c>
    </row>
    <row r="1272">
      <c r="A1272" t="n">
        <v>88</v>
      </c>
      <c r="B1272" t="inlineStr">
        <is>
          <t>Waragon Nest</t>
        </is>
      </c>
      <c r="C1272" t="inlineStr">
        <is>
          <t>Serap's Necklace</t>
        </is>
      </c>
      <c r="D1272" t="n">
        <v>0.340909</v>
      </c>
      <c r="E1272" t="n">
        <v>23487</v>
      </c>
      <c r="F1272" s="3" t="n">
        <v>0.01451479541874228</v>
      </c>
      <c r="G1272" t="n">
        <v>68895</v>
      </c>
      <c r="H1272" s="3" t="n">
        <v>1.395462635101781e-06</v>
      </c>
      <c r="I1272" s="3" t="n">
        <v>0.1064004619300297</v>
      </c>
      <c r="J1272" t="n">
        <v>0.7</v>
      </c>
      <c r="K1272">
        <f>IF(IFERROR(INDEX(Spots!$K$2:$K$96,MATCH(A1272,Spots!$A$2:$A$96,0)),"")="","",IFERROR(INDEX(Spots!$K$2:$K$96,MATCH(A1272,Spots!$A$2:$A$96,0)),""))</f>
        <v/>
      </c>
      <c r="L1272" s="3">
        <f>IF(OR(K1272="",F1272=""),"",F1272/1000*K1272*100)</f>
        <v/>
      </c>
      <c r="M1272">
        <f>IF(OR(L1272="",L1272=0),"",ROUND(100/L1272,0))</f>
        <v/>
      </c>
      <c r="N1272" t="inlineStr">
        <is>
          <t>low sample</t>
        </is>
      </c>
    </row>
    <row r="1273">
      <c r="A1273" t="n">
        <v>88</v>
      </c>
      <c r="B1273" t="inlineStr">
        <is>
          <t>Waragon Nest</t>
        </is>
      </c>
      <c r="C1273" t="inlineStr">
        <is>
          <t>Any Artifact</t>
        </is>
      </c>
      <c r="D1273" t="n">
        <v>0</v>
      </c>
      <c r="E1273" t="n">
        <v>23487</v>
      </c>
      <c r="F1273" s="3" t="n">
        <v>0</v>
      </c>
      <c r="H1273" s="3" t="n">
        <v>0</v>
      </c>
      <c r="I1273" s="3" t="n">
        <v>0.07853280538170052</v>
      </c>
      <c r="J1273" t="n">
        <v>0</v>
      </c>
      <c r="K1273">
        <f>IF(IFERROR(INDEX(Spots!$K$2:$K$96,MATCH(A1273,Spots!$A$2:$A$96,0)),"")="","",IFERROR(INDEX(Spots!$K$2:$K$96,MATCH(A1273,Spots!$A$2:$A$96,0)),""))</f>
        <v/>
      </c>
      <c r="L1273" s="3">
        <f>IF(OR(K1273="",F1273=""),"",F1273/1000*K1273*100)</f>
        <v/>
      </c>
      <c r="M1273">
        <f>IF(OR(L1273="",L1273=0),"",ROUND(100/L1273,0))</f>
        <v/>
      </c>
      <c r="N1273" t="inlineStr">
        <is>
          <t>no drops recorded</t>
        </is>
      </c>
    </row>
    <row r="1274">
      <c r="A1274" t="n">
        <v>88</v>
      </c>
      <c r="B1274" t="inlineStr">
        <is>
          <t>Waragon Nest</t>
        </is>
      </c>
      <c r="C1274" t="inlineStr">
        <is>
          <t>Specter's Energy</t>
        </is>
      </c>
      <c r="D1274" t="n">
        <v>0</v>
      </c>
      <c r="E1274" t="n">
        <v>23487</v>
      </c>
      <c r="F1274" s="3" t="n">
        <v>0</v>
      </c>
      <c r="H1274" s="3" t="n">
        <v>0</v>
      </c>
      <c r="I1274" s="3" t="n">
        <v>0.07853280538170052</v>
      </c>
      <c r="J1274" t="n">
        <v>0</v>
      </c>
      <c r="K1274">
        <f>IF(IFERROR(INDEX(Spots!$K$2:$K$96,MATCH(A1274,Spots!$A$2:$A$96,0)),"")="","",IFERROR(INDEX(Spots!$K$2:$K$96,MATCH(A1274,Spots!$A$2:$A$96,0)),""))</f>
        <v/>
      </c>
      <c r="L1274" s="3">
        <f>IF(OR(K1274="",F1274=""),"",F1274/1000*K1274*100)</f>
        <v/>
      </c>
      <c r="M1274">
        <f>IF(OR(L1274="",L1274=0),"",ROUND(100/L1274,0))</f>
        <v/>
      </c>
      <c r="N1274" t="inlineStr">
        <is>
          <t>no drops recorded</t>
        </is>
      </c>
    </row>
    <row r="1275">
      <c r="A1275" t="n">
        <v>88</v>
      </c>
      <c r="B1275" t="inlineStr">
        <is>
          <t>Waragon Nest</t>
        </is>
      </c>
      <c r="C1275" t="inlineStr">
        <is>
          <t>Imperfect Lightstone of Fire</t>
        </is>
      </c>
      <c r="D1275" t="n">
        <v>0</v>
      </c>
      <c r="E1275" t="n">
        <v>23487</v>
      </c>
      <c r="F1275" s="3" t="n">
        <v>0</v>
      </c>
      <c r="H1275" s="3" t="n">
        <v>0</v>
      </c>
      <c r="I1275" s="3" t="n">
        <v>0.07853280538170052</v>
      </c>
      <c r="J1275" t="n">
        <v>0</v>
      </c>
      <c r="K1275">
        <f>IF(IFERROR(INDEX(Spots!$K$2:$K$96,MATCH(A1275,Spots!$A$2:$A$96,0)),"")="","",IFERROR(INDEX(Spots!$K$2:$K$96,MATCH(A1275,Spots!$A$2:$A$96,0)),""))</f>
        <v/>
      </c>
      <c r="L1275" s="3">
        <f>IF(OR(K1275="",F1275=""),"",F1275/1000*K1275*100)</f>
        <v/>
      </c>
      <c r="M1275">
        <f>IF(OR(L1275="",L1275=0),"",ROUND(100/L1275,0))</f>
        <v/>
      </c>
      <c r="N1275" t="inlineStr">
        <is>
          <t>no drops recorded</t>
        </is>
      </c>
    </row>
    <row r="1276">
      <c r="A1276" t="n">
        <v>88</v>
      </c>
      <c r="B1276" t="inlineStr">
        <is>
          <t>Waragon Nest</t>
        </is>
      </c>
      <c r="C1276" t="inlineStr">
        <is>
          <t>Imperfect Lightstone of Earth</t>
        </is>
      </c>
      <c r="D1276" t="n">
        <v>0</v>
      </c>
      <c r="E1276" t="n">
        <v>23487</v>
      </c>
      <c r="F1276" s="3" t="n">
        <v>0</v>
      </c>
      <c r="H1276" s="3" t="n">
        <v>0</v>
      </c>
      <c r="I1276" s="3" t="n">
        <v>0.07853280538170052</v>
      </c>
      <c r="J1276" t="n">
        <v>0</v>
      </c>
      <c r="K1276">
        <f>IF(IFERROR(INDEX(Spots!$K$2:$K$96,MATCH(A1276,Spots!$A$2:$A$96,0)),"")="","",IFERROR(INDEX(Spots!$K$2:$K$96,MATCH(A1276,Spots!$A$2:$A$96,0)),""))</f>
        <v/>
      </c>
      <c r="L1276" s="3">
        <f>IF(OR(K1276="",F1276=""),"",F1276/1000*K1276*100)</f>
        <v/>
      </c>
      <c r="M1276">
        <f>IF(OR(L1276="",L1276=0),"",ROUND(100/L1276,0))</f>
        <v/>
      </c>
      <c r="N1276" t="inlineStr">
        <is>
          <t>no drops recorded</t>
        </is>
      </c>
    </row>
    <row r="1277">
      <c r="A1277" t="n">
        <v>88</v>
      </c>
      <c r="B1277" t="inlineStr">
        <is>
          <t>Waragon Nest</t>
        </is>
      </c>
      <c r="C1277" t="inlineStr">
        <is>
          <t>Imperfect Lightstone of Wind</t>
        </is>
      </c>
      <c r="D1277" t="n">
        <v>0</v>
      </c>
      <c r="E1277" t="n">
        <v>23487</v>
      </c>
      <c r="F1277" s="3" t="n">
        <v>0</v>
      </c>
      <c r="H1277" s="3" t="n">
        <v>0</v>
      </c>
      <c r="I1277" s="3" t="n">
        <v>0.07853280538170052</v>
      </c>
      <c r="J1277" t="n">
        <v>0</v>
      </c>
      <c r="K1277">
        <f>IF(IFERROR(INDEX(Spots!$K$2:$K$96,MATCH(A1277,Spots!$A$2:$A$96,0)),"")="","",IFERROR(INDEX(Spots!$K$2:$K$96,MATCH(A1277,Spots!$A$2:$A$96,0)),""))</f>
        <v/>
      </c>
      <c r="L1277" s="3">
        <f>IF(OR(K1277="",F1277=""),"",F1277/1000*K1277*100)</f>
        <v/>
      </c>
      <c r="M1277">
        <f>IF(OR(L1277="",L1277=0),"",ROUND(100/L1277,0))</f>
        <v/>
      </c>
      <c r="N1277" t="inlineStr">
        <is>
          <t>no drops recorded</t>
        </is>
      </c>
    </row>
    <row r="1278">
      <c r="A1278" t="n">
        <v>149</v>
      </c>
      <c r="B1278" t="inlineStr">
        <is>
          <t>Winter Tree Fossil (280)</t>
        </is>
      </c>
      <c r="C1278" t="inlineStr">
        <is>
          <t>Black Stone</t>
        </is>
      </c>
      <c r="D1278" t="n">
        <v>267.71</v>
      </c>
      <c r="E1278" t="n">
        <v>23032</v>
      </c>
      <c r="F1278" s="3" t="n">
        <v>11.62339353942341</v>
      </c>
      <c r="G1278" t="n">
        <v>86</v>
      </c>
      <c r="H1278" s="3" t="n">
        <v>11.05636858558791</v>
      </c>
      <c r="I1278" s="3" t="n">
        <v>12.21195982853036</v>
      </c>
      <c r="J1278" t="n">
        <v>1575</v>
      </c>
      <c r="K1278">
        <f>IF(IFERROR(INDEX(Spots!$K$2:$K$96,MATCH(A1278,Spots!$A$2:$A$96,0)),"")="","",IFERROR(INDEX(Spots!$K$2:$K$96,MATCH(A1278,Spots!$A$2:$A$96,0)),""))</f>
        <v/>
      </c>
      <c r="L1278" s="3">
        <f>IF(OR(K1278="",F1278=""),"",F1278/1000*K1278*100)</f>
        <v/>
      </c>
      <c r="M1278">
        <f>IF(OR(L1278="",L1278=0),"",ROUND(100/L1278,0))</f>
        <v/>
      </c>
      <c r="N1278" t="inlineStr">
        <is>
          <t>low sample</t>
        </is>
      </c>
    </row>
    <row r="1279">
      <c r="A1279" t="n">
        <v>149</v>
      </c>
      <c r="B1279" t="inlineStr">
        <is>
          <t>Winter Tree Fossil (280)</t>
        </is>
      </c>
      <c r="C1279" t="inlineStr">
        <is>
          <t>Ancient Spirit Dust</t>
        </is>
      </c>
      <c r="D1279" t="n">
        <v>164.53</v>
      </c>
      <c r="E1279" t="n">
        <v>23032</v>
      </c>
      <c r="F1279" s="3" t="n">
        <v>7.143539423410907</v>
      </c>
      <c r="G1279" t="n">
        <v>140</v>
      </c>
      <c r="H1279" s="3" t="n">
        <v>6.700542382001264</v>
      </c>
      <c r="I1279" s="3" t="n">
        <v>7.608127381797431</v>
      </c>
      <c r="J1279" t="n">
        <v>968</v>
      </c>
      <c r="K1279">
        <f>IF(IFERROR(INDEX(Spots!$K$2:$K$96,MATCH(A1279,Spots!$A$2:$A$96,0)),"")="","",IFERROR(INDEX(Spots!$K$2:$K$96,MATCH(A1279,Spots!$A$2:$A$96,0)),""))</f>
        <v/>
      </c>
      <c r="L1279" s="3">
        <f>IF(OR(K1279="",F1279=""),"",F1279/1000*K1279*100)</f>
        <v/>
      </c>
      <c r="M1279">
        <f>IF(OR(L1279="",L1279=0),"",ROUND(100/L1279,0))</f>
        <v/>
      </c>
      <c r="N1279" t="inlineStr">
        <is>
          <t>low sample</t>
        </is>
      </c>
    </row>
    <row r="1280">
      <c r="A1280" t="n">
        <v>149</v>
      </c>
      <c r="B1280" t="inlineStr">
        <is>
          <t>Winter Tree Fossil (280)</t>
        </is>
      </c>
      <c r="C1280" t="inlineStr">
        <is>
          <t>Caphras Stone</t>
        </is>
      </c>
      <c r="D1280" t="n">
        <v>44.873</v>
      </c>
      <c r="E1280" t="n">
        <v>23032</v>
      </c>
      <c r="F1280" s="3" t="n">
        <v>1.948289336575199</v>
      </c>
      <c r="G1280" t="n">
        <v>513</v>
      </c>
      <c r="H1280" s="3" t="n">
        <v>1.720327440212848</v>
      </c>
      <c r="I1280" s="3" t="n">
        <v>2.198050290548677</v>
      </c>
      <c r="J1280" t="n">
        <v>264</v>
      </c>
      <c r="K1280">
        <f>IF(IFERROR(INDEX(Spots!$K$2:$K$96,MATCH(A1280,Spots!$A$2:$A$96,0)),"")="","",IFERROR(INDEX(Spots!$K$2:$K$96,MATCH(A1280,Spots!$A$2:$A$96,0)),""))</f>
        <v/>
      </c>
      <c r="L1280" s="3">
        <f>IF(OR(K1280="",F1280=""),"",F1280/1000*K1280*100)</f>
        <v/>
      </c>
      <c r="M1280">
        <f>IF(OR(L1280="",L1280=0),"",ROUND(100/L1280,0))</f>
        <v/>
      </c>
      <c r="N1280" t="inlineStr">
        <is>
          <t>low sample</t>
        </is>
      </c>
    </row>
    <row r="1281">
      <c r="A1281" t="n">
        <v>149</v>
      </c>
      <c r="B1281" t="inlineStr">
        <is>
          <t>Winter Tree Fossil (280)</t>
        </is>
      </c>
      <c r="C1281" t="inlineStr">
        <is>
          <t>Dragon Scale Fossil</t>
        </is>
      </c>
      <c r="D1281" t="n">
        <v>19.377</v>
      </c>
      <c r="E1281" t="n">
        <v>23032</v>
      </c>
      <c r="F1281" s="3" t="n">
        <v>0.8413077457450504</v>
      </c>
      <c r="G1281" t="n">
        <v>1189</v>
      </c>
      <c r="H1281" s="3" t="n">
        <v>0.6939605956198134</v>
      </c>
      <c r="I1281" s="3" t="n">
        <v>1.010677781087432</v>
      </c>
      <c r="J1281" t="n">
        <v>114</v>
      </c>
      <c r="K1281">
        <f>IF(IFERROR(INDEX(Spots!$K$2:$K$96,MATCH(A1281,Spots!$A$2:$A$96,0)),"")="","",IFERROR(INDEX(Spots!$K$2:$K$96,MATCH(A1281,Spots!$A$2:$A$96,0)),""))</f>
        <v/>
      </c>
      <c r="L1281" s="3">
        <f>IF(OR(K1281="",F1281=""),"",F1281/1000*K1281*100)</f>
        <v/>
      </c>
      <c r="M1281">
        <f>IF(OR(L1281="",L1281=0),"",ROUND(100/L1281,0))</f>
        <v/>
      </c>
      <c r="N1281" t="inlineStr">
        <is>
          <t>low sample</t>
        </is>
      </c>
    </row>
    <row r="1282">
      <c r="A1282" t="n">
        <v>149</v>
      </c>
      <c r="B1282" t="inlineStr">
        <is>
          <t>Winter Tree Fossil (280)</t>
        </is>
      </c>
      <c r="C1282" t="inlineStr">
        <is>
          <t>Starlit Jade's Breath</t>
        </is>
      </c>
      <c r="D1282" t="n">
        <v>7.648725</v>
      </c>
      <c r="E1282" t="n">
        <v>23032</v>
      </c>
      <c r="F1282" s="3" t="n">
        <v>0.3320912209100382</v>
      </c>
      <c r="G1282" t="n">
        <v>3011</v>
      </c>
      <c r="H1282" s="3" t="n">
        <v>0.2422056220800573</v>
      </c>
      <c r="I1282" s="3" t="n">
        <v>0.4443768287210237</v>
      </c>
      <c r="J1282" t="n">
        <v>45</v>
      </c>
      <c r="K1282">
        <f>IF(IFERROR(INDEX(Spots!$K$2:$K$96,MATCH(A1282,Spots!$A$2:$A$96,0)),"")="","",IFERROR(INDEX(Spots!$K$2:$K$96,MATCH(A1282,Spots!$A$2:$A$96,0)),""))</f>
        <v/>
      </c>
      <c r="L1282" s="3">
        <f>IF(OR(K1282="",F1282=""),"",F1282/1000*K1282*100)</f>
        <v/>
      </c>
      <c r="M1282">
        <f>IF(OR(L1282="",L1282=0),"",ROUND(100/L1282,0))</f>
        <v/>
      </c>
      <c r="N1282" t="inlineStr">
        <is>
          <t>low sample</t>
        </is>
      </c>
    </row>
    <row r="1283">
      <c r="A1283" t="n">
        <v>149</v>
      </c>
      <c r="B1283" t="inlineStr">
        <is>
          <t>Winter Tree Fossil (280)</t>
        </is>
      </c>
      <c r="C1283" t="inlineStr">
        <is>
          <t>Essence of Insight</t>
        </is>
      </c>
      <c r="D1283" t="n">
        <v>6.11898</v>
      </c>
      <c r="E1283" t="n">
        <v>23032</v>
      </c>
      <c r="F1283" s="3" t="n">
        <v>0.2656729767280305</v>
      </c>
      <c r="G1283" t="n">
        <v>3764</v>
      </c>
      <c r="H1283" s="3" t="n">
        <v>0.1860469281665497</v>
      </c>
      <c r="I1283" s="3" t="n">
        <v>0.3678162526900896</v>
      </c>
      <c r="J1283" t="n">
        <v>36</v>
      </c>
      <c r="K1283">
        <f>IF(IFERROR(INDEX(Spots!$K$2:$K$96,MATCH(A1283,Spots!$A$2:$A$96,0)),"")="","",IFERROR(INDEX(Spots!$K$2:$K$96,MATCH(A1283,Spots!$A$2:$A$96,0)),""))</f>
        <v/>
      </c>
      <c r="L1283" s="3">
        <f>IF(OR(K1283="",F1283=""),"",F1283/1000*K1283*100)</f>
        <v/>
      </c>
      <c r="M1283">
        <f>IF(OR(L1283="",L1283=0),"",ROUND(100/L1283,0))</f>
        <v/>
      </c>
      <c r="N1283" t="inlineStr">
        <is>
          <t>low sample</t>
        </is>
      </c>
    </row>
    <row r="1284">
      <c r="A1284" t="n">
        <v>149</v>
      </c>
      <c r="B1284" t="inlineStr">
        <is>
          <t>Winter Tree Fossil (280)</t>
        </is>
      </c>
      <c r="C1284" t="inlineStr">
        <is>
          <t>Magic Crystal of Infinity - Max HP</t>
        </is>
      </c>
      <c r="D1284" t="n">
        <v>2.03966</v>
      </c>
      <c r="E1284" t="n">
        <v>23032</v>
      </c>
      <c r="F1284" s="3" t="n">
        <v>0.08855765890934353</v>
      </c>
      <c r="G1284" t="n">
        <v>11292</v>
      </c>
      <c r="H1284" s="3" t="n">
        <v>0.04570630143747775</v>
      </c>
      <c r="I1284" s="3" t="n">
        <v>0.1547031217222343</v>
      </c>
      <c r="J1284" t="n">
        <v>12</v>
      </c>
      <c r="K1284">
        <f>IF(IFERROR(INDEX(Spots!$K$2:$K$96,MATCH(A1284,Spots!$A$2:$A$96,0)),"")="","",IFERROR(INDEX(Spots!$K$2:$K$96,MATCH(A1284,Spots!$A$2:$A$96,0)),""))</f>
        <v/>
      </c>
      <c r="L1284" s="3">
        <f>IF(OR(K1284="",F1284=""),"",F1284/1000*K1284*100)</f>
        <v/>
      </c>
      <c r="M1284">
        <f>IF(OR(L1284="",L1284=0),"",ROUND(100/L1284,0))</f>
        <v/>
      </c>
      <c r="N1284" t="inlineStr">
        <is>
          <t>low sample</t>
        </is>
      </c>
    </row>
    <row r="1285">
      <c r="A1285" t="n">
        <v>149</v>
      </c>
      <c r="B1285" t="inlineStr">
        <is>
          <t>Winter Tree Fossil (280)</t>
        </is>
      </c>
      <c r="C1285" t="inlineStr">
        <is>
          <t>Imperfect Lightstone of Wind</t>
        </is>
      </c>
      <c r="D1285" t="n">
        <v>0.67988669</v>
      </c>
      <c r="E1285" t="n">
        <v>23032</v>
      </c>
      <c r="F1285" s="3" t="n">
        <v>0.02951922064953109</v>
      </c>
      <c r="G1285" t="n">
        <v>33876</v>
      </c>
      <c r="H1285" s="3" t="n">
        <v>0.007941558852468125</v>
      </c>
      <c r="I1285" s="3" t="n">
        <v>0.07557571822317825</v>
      </c>
      <c r="J1285" t="n">
        <v>4</v>
      </c>
      <c r="K1285">
        <f>IF(IFERROR(INDEX(Spots!$K$2:$K$96,MATCH(A1285,Spots!$A$2:$A$96,0)),"")="","",IFERROR(INDEX(Spots!$K$2:$K$96,MATCH(A1285,Spots!$A$2:$A$96,0)),""))</f>
        <v/>
      </c>
      <c r="L1285" s="3">
        <f>IF(OR(K1285="",F1285=""),"",F1285/1000*K1285*100)</f>
        <v/>
      </c>
      <c r="M1285">
        <f>IF(OR(L1285="",L1285=0),"",ROUND(100/L1285,0))</f>
        <v/>
      </c>
      <c r="N1285" t="inlineStr">
        <is>
          <t>low sample</t>
        </is>
      </c>
    </row>
    <row r="1286">
      <c r="A1286" t="n">
        <v>149</v>
      </c>
      <c r="B1286" t="inlineStr">
        <is>
          <t>Winter Tree Fossil (280)</t>
        </is>
      </c>
      <c r="C1286" t="inlineStr">
        <is>
          <t>Any Artifact</t>
        </is>
      </c>
      <c r="D1286" t="n">
        <v>0.5099150099999999</v>
      </c>
      <c r="E1286" t="n">
        <v>23032</v>
      </c>
      <c r="F1286" s="3" t="n">
        <v>0.02213941516151441</v>
      </c>
      <c r="G1286" t="n">
        <v>45168</v>
      </c>
      <c r="H1286" s="3" t="n">
        <v>0.004449662027092625</v>
      </c>
      <c r="I1286" s="3" t="n">
        <v>0.06468757755112199</v>
      </c>
      <c r="J1286" t="n">
        <v>3</v>
      </c>
      <c r="K1286">
        <f>IF(IFERROR(INDEX(Spots!$K$2:$K$96,MATCH(A1286,Spots!$A$2:$A$96,0)),"")="","",IFERROR(INDEX(Spots!$K$2:$K$96,MATCH(A1286,Spots!$A$2:$A$96,0)),""))</f>
        <v/>
      </c>
      <c r="L1286" s="3">
        <f>IF(OR(K1286="",F1286=""),"",F1286/1000*K1286*100)</f>
        <v/>
      </c>
      <c r="M1286">
        <f>IF(OR(L1286="",L1286=0),"",ROUND(100/L1286,0))</f>
        <v/>
      </c>
      <c r="N1286" t="inlineStr">
        <is>
          <t>low sample</t>
        </is>
      </c>
    </row>
    <row r="1287">
      <c r="A1287" t="n">
        <v>149</v>
      </c>
      <c r="B1287" t="inlineStr">
        <is>
          <t>Winter Tree Fossil (280)</t>
        </is>
      </c>
      <c r="C1287" t="inlineStr">
        <is>
          <t>Forgotten Witch's Token</t>
        </is>
      </c>
      <c r="D1287" t="n">
        <v>0.16997167</v>
      </c>
      <c r="E1287" t="n">
        <v>23032</v>
      </c>
      <c r="F1287" s="3" t="n">
        <v>0.007379805053838138</v>
      </c>
      <c r="G1287" t="n">
        <v>135505</v>
      </c>
      <c r="H1287" s="3" t="n">
        <v>9.645503973433386e-05</v>
      </c>
      <c r="I1287" s="3" t="n">
        <v>0.04106017528919773</v>
      </c>
      <c r="J1287" t="n">
        <v>1</v>
      </c>
      <c r="K1287">
        <f>IF(IFERROR(INDEX(Spots!$K$2:$K$96,MATCH(A1287,Spots!$A$2:$A$96,0)),"")="","",IFERROR(INDEX(Spots!$K$2:$K$96,MATCH(A1287,Spots!$A$2:$A$96,0)),""))</f>
        <v/>
      </c>
      <c r="L1287" s="3">
        <f>IF(OR(K1287="",F1287=""),"",F1287/1000*K1287*100)</f>
        <v/>
      </c>
      <c r="M1287">
        <f>IF(OR(L1287="",L1287=0),"",ROUND(100/L1287,0))</f>
        <v/>
      </c>
      <c r="N1287" t="inlineStr">
        <is>
          <t>low sample</t>
        </is>
      </c>
    </row>
    <row r="1288">
      <c r="A1288" t="n">
        <v>149</v>
      </c>
      <c r="B1288" t="inlineStr">
        <is>
          <t>Winter Tree Fossil (280)</t>
        </is>
      </c>
      <c r="C1288" t="inlineStr">
        <is>
          <t>Iridescent Lightstone</t>
        </is>
      </c>
      <c r="D1288" t="n">
        <v>0.16997167</v>
      </c>
      <c r="E1288" t="n">
        <v>23032</v>
      </c>
      <c r="F1288" s="3" t="n">
        <v>0.007379805053838138</v>
      </c>
      <c r="G1288" t="n">
        <v>135505</v>
      </c>
      <c r="H1288" s="3" t="n">
        <v>9.645503973433386e-05</v>
      </c>
      <c r="I1288" s="3" t="n">
        <v>0.04106017528919773</v>
      </c>
      <c r="J1288" t="n">
        <v>1</v>
      </c>
      <c r="K1288">
        <f>IF(IFERROR(INDEX(Spots!$K$2:$K$96,MATCH(A1288,Spots!$A$2:$A$96,0)),"")="","",IFERROR(INDEX(Spots!$K$2:$K$96,MATCH(A1288,Spots!$A$2:$A$96,0)),""))</f>
        <v/>
      </c>
      <c r="L1288" s="3">
        <f>IF(OR(K1288="",F1288=""),"",F1288/1000*K1288*100)</f>
        <v/>
      </c>
      <c r="M1288">
        <f>IF(OR(L1288="",L1288=0),"",ROUND(100/L1288,0))</f>
        <v/>
      </c>
      <c r="N1288" t="inlineStr">
        <is>
          <t>low sample</t>
        </is>
      </c>
    </row>
    <row r="1289">
      <c r="A1289" t="n">
        <v>149</v>
      </c>
      <c r="B1289" t="inlineStr">
        <is>
          <t>Winter Tree Fossil (280)</t>
        </is>
      </c>
      <c r="C1289" t="inlineStr">
        <is>
          <t>Imperfect Lightstone of Fire</t>
        </is>
      </c>
      <c r="D1289" t="n">
        <v>0.16997167</v>
      </c>
      <c r="E1289" t="n">
        <v>23032</v>
      </c>
      <c r="F1289" s="3" t="n">
        <v>0.007379805053838138</v>
      </c>
      <c r="G1289" t="n">
        <v>135505</v>
      </c>
      <c r="H1289" s="3" t="n">
        <v>9.645503973433386e-05</v>
      </c>
      <c r="I1289" s="3" t="n">
        <v>0.04106017528919773</v>
      </c>
      <c r="J1289" t="n">
        <v>1</v>
      </c>
      <c r="K1289">
        <f>IF(IFERROR(INDEX(Spots!$K$2:$K$96,MATCH(A1289,Spots!$A$2:$A$96,0)),"")="","",IFERROR(INDEX(Spots!$K$2:$K$96,MATCH(A1289,Spots!$A$2:$A$96,0)),""))</f>
        <v/>
      </c>
      <c r="L1289" s="3">
        <f>IF(OR(K1289="",F1289=""),"",F1289/1000*K1289*100)</f>
        <v/>
      </c>
      <c r="M1289">
        <f>IF(OR(L1289="",L1289=0),"",ROUND(100/L1289,0))</f>
        <v/>
      </c>
      <c r="N1289" t="inlineStr">
        <is>
          <t>low sample</t>
        </is>
      </c>
    </row>
    <row r="1290">
      <c r="A1290" t="n">
        <v>149</v>
      </c>
      <c r="B1290" t="inlineStr">
        <is>
          <t>Winter Tree Fossil (280)</t>
        </is>
      </c>
      <c r="C1290" t="inlineStr">
        <is>
          <t>Imperfect Lightstone of Earth</t>
        </is>
      </c>
      <c r="D1290" t="n">
        <v>0.16997167</v>
      </c>
      <c r="E1290" t="n">
        <v>23032</v>
      </c>
      <c r="F1290" s="3" t="n">
        <v>0.007379805053838138</v>
      </c>
      <c r="G1290" t="n">
        <v>135505</v>
      </c>
      <c r="H1290" s="3" t="n">
        <v>9.645503973433386e-05</v>
      </c>
      <c r="I1290" s="3" t="n">
        <v>0.04106017528919773</v>
      </c>
      <c r="J1290" t="n">
        <v>1</v>
      </c>
      <c r="K1290">
        <f>IF(IFERROR(INDEX(Spots!$K$2:$K$96,MATCH(A1290,Spots!$A$2:$A$96,0)),"")="","",IFERROR(INDEX(Spots!$K$2:$K$96,MATCH(A1290,Spots!$A$2:$A$96,0)),""))</f>
        <v/>
      </c>
      <c r="L1290" s="3">
        <f>IF(OR(K1290="",F1290=""),"",F1290/1000*K1290*100)</f>
        <v/>
      </c>
      <c r="M1290">
        <f>IF(OR(L1290="",L1290=0),"",ROUND(100/L1290,0))</f>
        <v/>
      </c>
      <c r="N1290" t="inlineStr">
        <is>
          <t>low sample</t>
        </is>
      </c>
    </row>
    <row r="1291">
      <c r="A1291" t="n">
        <v>149</v>
      </c>
      <c r="B1291" t="inlineStr">
        <is>
          <t>Winter Tree Fossil (280)</t>
        </is>
      </c>
      <c r="C1291" t="inlineStr">
        <is>
          <t>Ancient Magic Crystal of Nature - Adamantine</t>
        </is>
      </c>
      <c r="D1291" t="n">
        <v>0</v>
      </c>
      <c r="E1291" t="n">
        <v>23032</v>
      </c>
      <c r="F1291" s="3" t="n">
        <v>0</v>
      </c>
      <c r="H1291" s="3" t="n">
        <v>0</v>
      </c>
      <c r="I1291" s="3" t="n">
        <v>0.02722410106593905</v>
      </c>
      <c r="J1291" t="n">
        <v>0</v>
      </c>
      <c r="K1291">
        <f>IF(IFERROR(INDEX(Spots!$K$2:$K$96,MATCH(A1291,Spots!$A$2:$A$96,0)),"")="","",IFERROR(INDEX(Spots!$K$2:$K$96,MATCH(A1291,Spots!$A$2:$A$96,0)),""))</f>
        <v/>
      </c>
      <c r="L1291" s="3">
        <f>IF(OR(K1291="",F1291=""),"",F1291/1000*K1291*100)</f>
        <v/>
      </c>
      <c r="M1291">
        <f>IF(OR(L1291="",L1291=0),"",ROUND(100/L1291,0))</f>
        <v/>
      </c>
      <c r="N1291" t="inlineStr">
        <is>
          <t>no drops recorded</t>
        </is>
      </c>
    </row>
    <row r="1292">
      <c r="A1292" t="n">
        <v>149</v>
      </c>
      <c r="B1292" t="inlineStr">
        <is>
          <t>Winter Tree Fossil (280)</t>
        </is>
      </c>
      <c r="C1292" t="inlineStr">
        <is>
          <t>Ancient Magic Crystal of Nature - Fighting Spirit</t>
        </is>
      </c>
      <c r="D1292" t="n">
        <v>0</v>
      </c>
      <c r="E1292" t="n">
        <v>23032</v>
      </c>
      <c r="F1292" s="3" t="n">
        <v>0</v>
      </c>
      <c r="H1292" s="3" t="n">
        <v>0</v>
      </c>
      <c r="I1292" s="3" t="n">
        <v>0.02722410106593905</v>
      </c>
      <c r="J1292" t="n">
        <v>0</v>
      </c>
      <c r="K1292">
        <f>IF(IFERROR(INDEX(Spots!$K$2:$K$96,MATCH(A1292,Spots!$A$2:$A$96,0)),"")="","",IFERROR(INDEX(Spots!$K$2:$K$96,MATCH(A1292,Spots!$A$2:$A$96,0)),""))</f>
        <v/>
      </c>
      <c r="L1292" s="3">
        <f>IF(OR(K1292="",F1292=""),"",F1292/1000*K1292*100)</f>
        <v/>
      </c>
      <c r="M1292">
        <f>IF(OR(L1292="",L1292=0),"",ROUND(100/L1292,0))</f>
        <v/>
      </c>
      <c r="N1292" t="inlineStr">
        <is>
          <t>no drops recorded</t>
        </is>
      </c>
    </row>
    <row r="1293">
      <c r="A1293" t="n">
        <v>149</v>
      </c>
      <c r="B1293" t="inlineStr">
        <is>
          <t>Winter Tree Fossil (280)</t>
        </is>
      </c>
      <c r="C1293" t="inlineStr">
        <is>
          <t>Ancient Magic Crystal of Nature - Sturdiness</t>
        </is>
      </c>
      <c r="D1293" t="n">
        <v>0</v>
      </c>
      <c r="E1293" t="n">
        <v>23032</v>
      </c>
      <c r="F1293" s="3" t="n">
        <v>0</v>
      </c>
      <c r="H1293" s="3" t="n">
        <v>0</v>
      </c>
      <c r="I1293" s="3" t="n">
        <v>0.02722410106593905</v>
      </c>
      <c r="J1293" t="n">
        <v>0</v>
      </c>
      <c r="K1293">
        <f>IF(IFERROR(INDEX(Spots!$K$2:$K$96,MATCH(A1293,Spots!$A$2:$A$96,0)),"")="","",IFERROR(INDEX(Spots!$K$2:$K$96,MATCH(A1293,Spots!$A$2:$A$96,0)),""))</f>
        <v/>
      </c>
      <c r="L1293" s="3">
        <f>IF(OR(K1293="",F1293=""),"",F1293/1000*K1293*100)</f>
        <v/>
      </c>
      <c r="M1293">
        <f>IF(OR(L1293="",L1293=0),"",ROUND(100/L1293,0))</f>
        <v/>
      </c>
      <c r="N1293" t="inlineStr">
        <is>
          <t>no drops recorded</t>
        </is>
      </c>
    </row>
    <row r="1294">
      <c r="A1294" t="n">
        <v>149</v>
      </c>
      <c r="B1294" t="inlineStr">
        <is>
          <t>Winter Tree Fossil (280)</t>
        </is>
      </c>
      <c r="C1294" t="inlineStr">
        <is>
          <t>Ancient Magic Crystal of Nature - Giant</t>
        </is>
      </c>
      <c r="D1294" t="n">
        <v>0</v>
      </c>
      <c r="E1294" t="n">
        <v>23032</v>
      </c>
      <c r="F1294" s="3" t="n">
        <v>0</v>
      </c>
      <c r="H1294" s="3" t="n">
        <v>0</v>
      </c>
      <c r="I1294" s="3" t="n">
        <v>0.02722410106593905</v>
      </c>
      <c r="J1294" t="n">
        <v>0</v>
      </c>
      <c r="K1294">
        <f>IF(IFERROR(INDEX(Spots!$K$2:$K$96,MATCH(A1294,Spots!$A$2:$A$96,0)),"")="","",IFERROR(INDEX(Spots!$K$2:$K$96,MATCH(A1294,Spots!$A$2:$A$96,0)),""))</f>
        <v/>
      </c>
      <c r="L1294" s="3">
        <f>IF(OR(K1294="",F1294=""),"",F1294/1000*K1294*100)</f>
        <v/>
      </c>
      <c r="M1294">
        <f>IF(OR(L1294="",L1294=0),"",ROUND(100/L1294,0))</f>
        <v/>
      </c>
      <c r="N1294" t="inlineStr">
        <is>
          <t>no drops recorded</t>
        </is>
      </c>
    </row>
    <row r="1295">
      <c r="A1295" t="n">
        <v>149</v>
      </c>
      <c r="B1295" t="inlineStr">
        <is>
          <t>Winter Tree Fossil (280)</t>
        </is>
      </c>
      <c r="C1295" t="inlineStr">
        <is>
          <t>Heavenly Essence - Ignore Knockback Resistance</t>
        </is>
      </c>
      <c r="D1295" t="n">
        <v>0</v>
      </c>
      <c r="E1295" t="n">
        <v>23032</v>
      </c>
      <c r="F1295" s="3" t="n">
        <v>0</v>
      </c>
      <c r="H1295" s="3" t="n">
        <v>0</v>
      </c>
      <c r="I1295" s="3" t="n">
        <v>0.02722410106593905</v>
      </c>
      <c r="J1295" t="n">
        <v>0</v>
      </c>
      <c r="K1295">
        <f>IF(IFERROR(INDEX(Spots!$K$2:$K$96,MATCH(A1295,Spots!$A$2:$A$96,0)),"")="","",IFERROR(INDEX(Spots!$K$2:$K$96,MATCH(A1295,Spots!$A$2:$A$96,0)),""))</f>
        <v/>
      </c>
      <c r="L1295" s="3">
        <f>IF(OR(K1295="",F1295=""),"",F1295/1000*K1295*100)</f>
        <v/>
      </c>
      <c r="M1295">
        <f>IF(OR(L1295="",L1295=0),"",ROUND(100/L1295,0))</f>
        <v/>
      </c>
      <c r="N1295" t="inlineStr">
        <is>
          <t>no drops recorded</t>
        </is>
      </c>
    </row>
    <row r="1296">
      <c r="A1296" t="n">
        <v>149</v>
      </c>
      <c r="B1296" t="inlineStr">
        <is>
          <t>Winter Tree Fossil (280)</t>
        </is>
      </c>
      <c r="C1296" t="inlineStr">
        <is>
          <t>Heavenly Essence - Ignore Knockdown Resistance</t>
        </is>
      </c>
      <c r="D1296" t="n">
        <v>0</v>
      </c>
      <c r="E1296" t="n">
        <v>23032</v>
      </c>
      <c r="F1296" s="3" t="n">
        <v>0</v>
      </c>
      <c r="H1296" s="3" t="n">
        <v>0</v>
      </c>
      <c r="I1296" s="3" t="n">
        <v>0.02722410106593905</v>
      </c>
      <c r="J1296" t="n">
        <v>0</v>
      </c>
      <c r="K1296">
        <f>IF(IFERROR(INDEX(Spots!$K$2:$K$96,MATCH(A1296,Spots!$A$2:$A$96,0)),"")="","",IFERROR(INDEX(Spots!$K$2:$K$96,MATCH(A1296,Spots!$A$2:$A$96,0)),""))</f>
        <v/>
      </c>
      <c r="L1296" s="3">
        <f>IF(OR(K1296="",F1296=""),"",F1296/1000*K1296*100)</f>
        <v/>
      </c>
      <c r="M1296">
        <f>IF(OR(L1296="",L1296=0),"",ROUND(100/L1296,0))</f>
        <v/>
      </c>
      <c r="N1296" t="inlineStr">
        <is>
          <t>no drops recorded</t>
        </is>
      </c>
    </row>
    <row r="1297">
      <c r="A1297" t="n">
        <v>149</v>
      </c>
      <c r="B1297" t="inlineStr">
        <is>
          <t>Winter Tree Fossil (280)</t>
        </is>
      </c>
      <c r="C1297" t="inlineStr">
        <is>
          <t>Heavenly Essence - Ignore Grapple Resistance</t>
        </is>
      </c>
      <c r="D1297" t="n">
        <v>0</v>
      </c>
      <c r="E1297" t="n">
        <v>23032</v>
      </c>
      <c r="F1297" s="3" t="n">
        <v>0</v>
      </c>
      <c r="H1297" s="3" t="n">
        <v>0</v>
      </c>
      <c r="I1297" s="3" t="n">
        <v>0.02722410106593905</v>
      </c>
      <c r="J1297" t="n">
        <v>0</v>
      </c>
      <c r="K1297">
        <f>IF(IFERROR(INDEX(Spots!$K$2:$K$96,MATCH(A1297,Spots!$A$2:$A$96,0)),"")="","",IFERROR(INDEX(Spots!$K$2:$K$96,MATCH(A1297,Spots!$A$2:$A$96,0)),""))</f>
        <v/>
      </c>
      <c r="L1297" s="3">
        <f>IF(OR(K1297="",F1297=""),"",F1297/1000*K1297*100)</f>
        <v/>
      </c>
      <c r="M1297">
        <f>IF(OR(L1297="",L1297=0),"",ROUND(100/L1297,0))</f>
        <v/>
      </c>
      <c r="N1297" t="inlineStr">
        <is>
          <t>no drops recorded</t>
        </is>
      </c>
    </row>
    <row r="1298">
      <c r="A1298" t="n">
        <v>149</v>
      </c>
      <c r="B1298" t="inlineStr">
        <is>
          <t>Winter Tree Fossil (280)</t>
        </is>
      </c>
      <c r="C1298" t="inlineStr">
        <is>
          <t>Heavenly Essence - Ignore Stun Resistance</t>
        </is>
      </c>
      <c r="D1298" t="n">
        <v>0</v>
      </c>
      <c r="E1298" t="n">
        <v>23032</v>
      </c>
      <c r="F1298" s="3" t="n">
        <v>0</v>
      </c>
      <c r="H1298" s="3" t="n">
        <v>0</v>
      </c>
      <c r="I1298" s="3" t="n">
        <v>0.02722410106593905</v>
      </c>
      <c r="J1298" t="n">
        <v>0</v>
      </c>
      <c r="K1298">
        <f>IF(IFERROR(INDEX(Spots!$K$2:$K$96,MATCH(A1298,Spots!$A$2:$A$96,0)),"")="","",IFERROR(INDEX(Spots!$K$2:$K$96,MATCH(A1298,Spots!$A$2:$A$96,0)),""))</f>
        <v/>
      </c>
      <c r="L1298" s="3">
        <f>IF(OR(K1298="",F1298=""),"",F1298/1000*K1298*100)</f>
        <v/>
      </c>
      <c r="M1298">
        <f>IF(OR(L1298="",L1298=0),"",ROUND(100/L1298,0))</f>
        <v/>
      </c>
      <c r="N1298" t="inlineStr">
        <is>
          <t>no drops recorded</t>
        </is>
      </c>
    </row>
    <row r="1299">
      <c r="A1299" t="n">
        <v>157</v>
      </c>
      <c r="B1299" t="inlineStr">
        <is>
          <t>Yzrahid Highlands</t>
        </is>
      </c>
      <c r="C1299" t="inlineStr">
        <is>
          <t>Ancient Spirit Dust</t>
        </is>
      </c>
      <c r="D1299" t="n">
        <v>34.698</v>
      </c>
      <c r="E1299" t="n">
        <v>15279</v>
      </c>
      <c r="F1299" s="3" t="n">
        <v>2.270960141370508</v>
      </c>
      <c r="G1299" t="n">
        <v>440</v>
      </c>
      <c r="H1299" s="3" t="n">
        <v>2.251193689733618</v>
      </c>
      <c r="I1299" s="3" t="n">
        <v>2.290856975444736</v>
      </c>
      <c r="J1299" t="n">
        <v>50489.6</v>
      </c>
      <c r="K1299">
        <f>IF(IFERROR(INDEX(Spots!$K$2:$K$96,MATCH(A1299,Spots!$A$2:$A$96,0)),"")="","",IFERROR(INDEX(Spots!$K$2:$K$96,MATCH(A1299,Spots!$A$2:$A$96,0)),""))</f>
        <v/>
      </c>
      <c r="L1299" s="3">
        <f>IF(OR(K1299="",F1299=""),"",F1299/1000*K1299*100)</f>
        <v/>
      </c>
      <c r="M1299">
        <f>IF(OR(L1299="",L1299=0),"",ROUND(100/L1299,0))</f>
        <v/>
      </c>
      <c r="N1299" t="inlineStr"/>
    </row>
    <row r="1300">
      <c r="A1300" t="n">
        <v>157</v>
      </c>
      <c r="B1300" t="inlineStr">
        <is>
          <t>Yzrahid Highlands</t>
        </is>
      </c>
      <c r="C1300" t="inlineStr">
        <is>
          <t>Black Stone</t>
        </is>
      </c>
      <c r="D1300" t="n">
        <v>21.869</v>
      </c>
      <c r="E1300" t="n">
        <v>15279</v>
      </c>
      <c r="F1300" s="3" t="n">
        <v>1.431310949669481</v>
      </c>
      <c r="G1300" t="n">
        <v>699</v>
      </c>
      <c r="H1300" s="3" t="n">
        <v>1.415627287850926</v>
      </c>
      <c r="I1300" s="3" t="n">
        <v>1.447125044743308</v>
      </c>
      <c r="J1300" t="n">
        <v>31821.9</v>
      </c>
      <c r="K1300">
        <f>IF(IFERROR(INDEX(Spots!$K$2:$K$96,MATCH(A1300,Spots!$A$2:$A$96,0)),"")="","",IFERROR(INDEX(Spots!$K$2:$K$96,MATCH(A1300,Spots!$A$2:$A$96,0)),""))</f>
        <v/>
      </c>
      <c r="L1300" s="3">
        <f>IF(OR(K1300="",F1300=""),"",F1300/1000*K1300*100)</f>
        <v/>
      </c>
      <c r="M1300">
        <f>IF(OR(L1300="",L1300=0),"",ROUND(100/L1300,0))</f>
        <v/>
      </c>
      <c r="N1300" t="inlineStr"/>
    </row>
    <row r="1301">
      <c r="A1301" t="n">
        <v>157</v>
      </c>
      <c r="B1301" t="inlineStr">
        <is>
          <t>Yzrahid Highlands</t>
        </is>
      </c>
      <c r="C1301" t="inlineStr">
        <is>
          <t>Caphras Stone</t>
        </is>
      </c>
      <c r="D1301" t="n">
        <v>15.92</v>
      </c>
      <c r="E1301" t="n">
        <v>15279</v>
      </c>
      <c r="F1301" s="3" t="n">
        <v>1.041953007395772</v>
      </c>
      <c r="G1301" t="n">
        <v>960</v>
      </c>
      <c r="H1301" s="3" t="n">
        <v>1.028577781645648</v>
      </c>
      <c r="I1301" s="3" t="n">
        <v>1.055458708800332</v>
      </c>
      <c r="J1301" t="n">
        <v>23165.5</v>
      </c>
      <c r="K1301">
        <f>IF(IFERROR(INDEX(Spots!$K$2:$K$96,MATCH(A1301,Spots!$A$2:$A$96,0)),"")="","",IFERROR(INDEX(Spots!$K$2:$K$96,MATCH(A1301,Spots!$A$2:$A$96,0)),""))</f>
        <v/>
      </c>
      <c r="L1301" s="3">
        <f>IF(OR(K1301="",F1301=""),"",F1301/1000*K1301*100)</f>
        <v/>
      </c>
      <c r="M1301">
        <f>IF(OR(L1301="",L1301=0),"",ROUND(100/L1301,0))</f>
        <v/>
      </c>
      <c r="N1301" t="inlineStr"/>
    </row>
    <row r="1302">
      <c r="A1302" t="n">
        <v>157</v>
      </c>
      <c r="B1302" t="inlineStr">
        <is>
          <t>Yzrahid Highlands</t>
        </is>
      </c>
      <c r="C1302" t="inlineStr">
        <is>
          <t>Sealed Black Magic Crystal</t>
        </is>
      </c>
      <c r="D1302" t="n">
        <v>7.879376</v>
      </c>
      <c r="E1302" t="n">
        <v>15279</v>
      </c>
      <c r="F1302" s="3" t="n">
        <v>0.5156997185679691</v>
      </c>
      <c r="G1302" t="n">
        <v>1939</v>
      </c>
      <c r="H1302" s="3" t="n">
        <v>0.5063026888472308</v>
      </c>
      <c r="I1302" s="3" t="n">
        <v>0.5252273455724258</v>
      </c>
      <c r="J1302" t="n">
        <v>11465.4</v>
      </c>
      <c r="K1302">
        <f>IF(IFERROR(INDEX(Spots!$K$2:$K$96,MATCH(A1302,Spots!$A$2:$A$96,0)),"")="","",IFERROR(INDEX(Spots!$K$2:$K$96,MATCH(A1302,Spots!$A$2:$A$96,0)),""))</f>
        <v/>
      </c>
      <c r="L1302" s="3">
        <f>IF(OR(K1302="",F1302=""),"",F1302/1000*K1302*100)</f>
        <v/>
      </c>
      <c r="M1302">
        <f>IF(OR(L1302="",L1302=0),"",ROUND(100/L1302,0))</f>
        <v/>
      </c>
      <c r="N1302" t="inlineStr"/>
    </row>
    <row r="1303">
      <c r="A1303" t="n">
        <v>157</v>
      </c>
      <c r="B1303" t="inlineStr">
        <is>
          <t>Yzrahid Highlands</t>
        </is>
      </c>
      <c r="C1303" t="inlineStr">
        <is>
          <t>Trace of Nature</t>
        </is>
      </c>
      <c r="D1303" t="n">
        <v>4.980129</v>
      </c>
      <c r="E1303" t="n">
        <v>15279</v>
      </c>
      <c r="F1303" s="3" t="n">
        <v>0.3259460043196544</v>
      </c>
      <c r="G1303" t="n">
        <v>3068</v>
      </c>
      <c r="H1303" s="3" t="n">
        <v>0.3184840042545442</v>
      </c>
      <c r="I1303" s="3" t="n">
        <v>0.3335387073244029</v>
      </c>
      <c r="J1303" t="n">
        <v>7246.7</v>
      </c>
      <c r="K1303">
        <f>IF(IFERROR(INDEX(Spots!$K$2:$K$96,MATCH(A1303,Spots!$A$2:$A$96,0)),"")="","",IFERROR(INDEX(Spots!$K$2:$K$96,MATCH(A1303,Spots!$A$2:$A$96,0)),""))</f>
        <v/>
      </c>
      <c r="L1303" s="3">
        <f>IF(OR(K1303="",F1303=""),"",F1303/1000*K1303*100)</f>
        <v/>
      </c>
      <c r="M1303">
        <f>IF(OR(L1303="",L1303=0),"",ROUND(100/L1303,0))</f>
        <v/>
      </c>
      <c r="N1303" t="inlineStr"/>
    </row>
    <row r="1304">
      <c r="A1304" t="n">
        <v>157</v>
      </c>
      <c r="B1304" t="inlineStr">
        <is>
          <t>Yzrahid Highlands</t>
        </is>
      </c>
      <c r="C1304" t="inlineStr">
        <is>
          <t>Kabua's Fragment</t>
        </is>
      </c>
      <c r="D1304" t="n">
        <v>2.090629</v>
      </c>
      <c r="E1304" t="n">
        <v>15279</v>
      </c>
      <c r="F1304" s="3" t="n">
        <v>0.1368302244911316</v>
      </c>
      <c r="G1304" t="n">
        <v>7308</v>
      </c>
      <c r="H1304" s="3" t="n">
        <v>0.1320105541664135</v>
      </c>
      <c r="I1304" s="3" t="n">
        <v>0.1417808772976515</v>
      </c>
      <c r="J1304" t="n">
        <v>3042.1</v>
      </c>
      <c r="K1304">
        <f>IF(IFERROR(INDEX(Spots!$K$2:$K$96,MATCH(A1304,Spots!$A$2:$A$96,0)),"")="","",IFERROR(INDEX(Spots!$K$2:$K$96,MATCH(A1304,Spots!$A$2:$A$96,0)),""))</f>
        <v/>
      </c>
      <c r="L1304" s="3">
        <f>IF(OR(K1304="",F1304=""),"",F1304/1000*K1304*100)</f>
        <v/>
      </c>
      <c r="M1304">
        <f>IF(OR(L1304="",L1304=0),"",ROUND(100/L1304,0))</f>
        <v/>
      </c>
      <c r="N1304" t="inlineStr"/>
    </row>
    <row r="1305">
      <c r="A1305" t="n">
        <v>157</v>
      </c>
      <c r="B1305" t="inlineStr">
        <is>
          <t>Yzrahid Highlands</t>
        </is>
      </c>
      <c r="C1305" t="inlineStr">
        <is>
          <t>Imperfect Lightstone of Fire</t>
        </is>
      </c>
      <c r="D1305" t="n">
        <v>1.438096</v>
      </c>
      <c r="E1305" t="n">
        <v>15279</v>
      </c>
      <c r="F1305" s="3" t="n">
        <v>0.0941223902087833</v>
      </c>
      <c r="G1305" t="n">
        <v>10624</v>
      </c>
      <c r="H1305" s="3" t="n">
        <v>0.09013235061191167</v>
      </c>
      <c r="I1305" s="3" t="n">
        <v>0.09824357524580342</v>
      </c>
      <c r="J1305" t="n">
        <v>2092.6</v>
      </c>
      <c r="K1305">
        <f>IF(IFERROR(INDEX(Spots!$K$2:$K$96,MATCH(A1305,Spots!$A$2:$A$96,0)),"")="","",IFERROR(INDEX(Spots!$K$2:$K$96,MATCH(A1305,Spots!$A$2:$A$96,0)),""))</f>
        <v/>
      </c>
      <c r="L1305" s="3">
        <f>IF(OR(K1305="",F1305=""),"",F1305/1000*K1305*100)</f>
        <v/>
      </c>
      <c r="M1305">
        <f>IF(OR(L1305="",L1305=0),"",ROUND(100/L1305,0))</f>
        <v/>
      </c>
      <c r="N1305" t="inlineStr"/>
    </row>
    <row r="1306">
      <c r="A1306" t="n">
        <v>157</v>
      </c>
      <c r="B1306" t="inlineStr">
        <is>
          <t>Yzrahid Highlands</t>
        </is>
      </c>
      <c r="C1306" t="inlineStr">
        <is>
          <t>Embers of Resonance</t>
        </is>
      </c>
      <c r="D1306" t="n">
        <v>0.41686657</v>
      </c>
      <c r="E1306" t="n">
        <v>15279</v>
      </c>
      <c r="F1306" s="3" t="n">
        <v>0.02728362916421232</v>
      </c>
      <c r="G1306" t="n">
        <v>36652</v>
      </c>
      <c r="H1306" s="3" t="n">
        <v>0.02515525661122297</v>
      </c>
      <c r="I1306" s="3" t="n">
        <v>0.02954396179926735</v>
      </c>
      <c r="J1306" t="n">
        <v>606.6</v>
      </c>
      <c r="K1306">
        <f>IF(IFERROR(INDEX(Spots!$K$2:$K$96,MATCH(A1306,Spots!$A$2:$A$96,0)),"")="","",IFERROR(INDEX(Spots!$K$2:$K$96,MATCH(A1306,Spots!$A$2:$A$96,0)),""))</f>
        <v/>
      </c>
      <c r="L1306" s="3">
        <f>IF(OR(K1306="",F1306=""),"",F1306/1000*K1306*100)</f>
        <v/>
      </c>
      <c r="M1306">
        <f>IF(OR(L1306="",L1306=0),"",ROUND(100/L1306,0))</f>
        <v/>
      </c>
      <c r="N1306" t="inlineStr"/>
    </row>
    <row r="1307">
      <c r="A1307" t="n">
        <v>157</v>
      </c>
      <c r="B1307" t="inlineStr">
        <is>
          <t>Yzrahid Highlands</t>
        </is>
      </c>
      <c r="C1307" t="inlineStr">
        <is>
          <t>Imperfect Lightstone of Earth</t>
        </is>
      </c>
      <c r="D1307" t="n">
        <v>0.16289261</v>
      </c>
      <c r="E1307" t="n">
        <v>15279</v>
      </c>
      <c r="F1307" s="3" t="n">
        <v>0.01066120884874664</v>
      </c>
      <c r="G1307" t="n">
        <v>93798</v>
      </c>
      <c r="H1307" s="3" t="n">
        <v>0.009346990585705692</v>
      </c>
      <c r="I1307" s="3" t="n">
        <v>0.01210843473541165</v>
      </c>
      <c r="J1307" t="n">
        <v>237</v>
      </c>
      <c r="K1307">
        <f>IF(IFERROR(INDEX(Spots!$K$2:$K$96,MATCH(A1307,Spots!$A$2:$A$96,0)),"")="","",IFERROR(INDEX(Spots!$K$2:$K$96,MATCH(A1307,Spots!$A$2:$A$96,0)),""))</f>
        <v/>
      </c>
      <c r="L1307" s="3">
        <f>IF(OR(K1307="",F1307=""),"",F1307/1000*K1307*100)</f>
        <v/>
      </c>
      <c r="M1307">
        <f>IF(OR(L1307="",L1307=0),"",ROUND(100/L1307,0))</f>
        <v/>
      </c>
      <c r="N1307" t="inlineStr"/>
    </row>
    <row r="1308">
      <c r="A1308" t="n">
        <v>157</v>
      </c>
      <c r="B1308" t="inlineStr">
        <is>
          <t>Yzrahid Highlands</t>
        </is>
      </c>
      <c r="C1308" t="inlineStr">
        <is>
          <t>Imperfect Lightstone of Wind</t>
        </is>
      </c>
      <c r="D1308" t="n">
        <v>0.07889715</v>
      </c>
      <c r="E1308" t="n">
        <v>15279</v>
      </c>
      <c r="F1308" s="3" t="n">
        <v>0.005163763989789907</v>
      </c>
      <c r="G1308" t="n">
        <v>193657</v>
      </c>
      <c r="H1308" s="3" t="n">
        <v>0.004262394448090155</v>
      </c>
      <c r="I1308" s="3" t="n">
        <v>0.006199345682719216</v>
      </c>
      <c r="J1308" t="n">
        <v>114.8</v>
      </c>
      <c r="K1308">
        <f>IF(IFERROR(INDEX(Spots!$K$2:$K$96,MATCH(A1308,Spots!$A$2:$A$96,0)),"")="","",IFERROR(INDEX(Spots!$K$2:$K$96,MATCH(A1308,Spots!$A$2:$A$96,0)),""))</f>
        <v/>
      </c>
      <c r="L1308" s="3">
        <f>IF(OR(K1308="",F1308=""),"",F1308/1000*K1308*100)</f>
        <v/>
      </c>
      <c r="M1308">
        <f>IF(OR(L1308="",L1308=0),"",ROUND(100/L1308,0))</f>
        <v/>
      </c>
      <c r="N1308" t="inlineStr"/>
    </row>
    <row r="1309">
      <c r="A1309" t="n">
        <v>157</v>
      </c>
      <c r="B1309" t="inlineStr">
        <is>
          <t>Yzrahid Highlands</t>
        </is>
      </c>
      <c r="C1309" t="inlineStr">
        <is>
          <t>Forgotten Limbo Box</t>
        </is>
      </c>
      <c r="D1309" t="n">
        <v>0.02290195</v>
      </c>
      <c r="E1309" t="n">
        <v>15279</v>
      </c>
      <c r="F1309" s="3" t="n">
        <v>0.001498916813927613</v>
      </c>
      <c r="G1309" t="n">
        <v>667148</v>
      </c>
      <c r="H1309" s="3" t="n">
        <v>0.001033674952867855</v>
      </c>
      <c r="I1309" s="3" t="n">
        <v>0.002101661983436779</v>
      </c>
      <c r="J1309" t="n">
        <v>33.3</v>
      </c>
      <c r="K1309">
        <f>IF(IFERROR(INDEX(Spots!$K$2:$K$96,MATCH(A1309,Spots!$A$2:$A$96,0)),"")="","",IFERROR(INDEX(Spots!$K$2:$K$96,MATCH(A1309,Spots!$A$2:$A$96,0)),""))</f>
        <v/>
      </c>
      <c r="L1309" s="3">
        <f>IF(OR(K1309="",F1309=""),"",F1309/1000*K1309*100)</f>
        <v/>
      </c>
      <c r="M1309">
        <f>IF(OR(L1309="",L1309=0),"",ROUND(100/L1309,0))</f>
        <v/>
      </c>
      <c r="N1309" t="inlineStr"/>
    </row>
    <row r="1310">
      <c r="A1310" t="n">
        <v>157</v>
      </c>
      <c r="B1310" t="inlineStr">
        <is>
          <t>Yzrahid Highlands</t>
        </is>
      </c>
      <c r="C1310" t="inlineStr">
        <is>
          <t>Kabua's Artifact</t>
        </is>
      </c>
      <c r="D1310" t="n">
        <v>0.00734828</v>
      </c>
      <c r="E1310" t="n">
        <v>15279</v>
      </c>
      <c r="F1310" s="3" t="n">
        <v>0.0004809398520845605</v>
      </c>
      <c r="G1310" t="n">
        <v>2079262</v>
      </c>
      <c r="H1310" s="3" t="n">
        <v>0.0002369508017997576</v>
      </c>
      <c r="I1310" s="3" t="n">
        <v>0.0008675359256653761</v>
      </c>
      <c r="J1310" t="n">
        <v>10.7</v>
      </c>
      <c r="K1310">
        <f>IF(IFERROR(INDEX(Spots!$K$2:$K$96,MATCH(A1310,Spots!$A$2:$A$96,0)),"")="","",IFERROR(INDEX(Spots!$K$2:$K$96,MATCH(A1310,Spots!$A$2:$A$96,0)),""))</f>
        <v/>
      </c>
      <c r="L1310" s="3">
        <f>IF(OR(K1310="",F1310=""),"",F1310/1000*K1310*100)</f>
        <v/>
      </c>
      <c r="M1310">
        <f>IF(OR(L1310="",L1310=0),"",ROUND(100/L1310,0))</f>
        <v/>
      </c>
      <c r="N1310" t="inlineStr">
        <is>
          <t>low sample</t>
        </is>
      </c>
    </row>
    <row r="1311">
      <c r="A1311" t="n">
        <v>157</v>
      </c>
      <c r="B1311" t="inlineStr">
        <is>
          <t>Yzrahid Highlands</t>
        </is>
      </c>
      <c r="C1311" t="inlineStr">
        <is>
          <t>Flame of Resonance</t>
        </is>
      </c>
      <c r="D1311" t="n">
        <v>0.0028547</v>
      </c>
      <c r="E1311" t="n">
        <v>15279</v>
      </c>
      <c r="F1311" s="3" t="n">
        <v>0.0001868381438575823</v>
      </c>
      <c r="G1311" t="n">
        <v>5352226</v>
      </c>
      <c r="H1311" s="3" t="n">
        <v>5.195111020046361e-05</v>
      </c>
      <c r="I1311" s="3" t="n">
        <v>0.000470627897579406</v>
      </c>
      <c r="J1311" t="n">
        <v>4.2</v>
      </c>
      <c r="K1311">
        <f>IF(IFERROR(INDEX(Spots!$K$2:$K$96,MATCH(A1311,Spots!$A$2:$A$96,0)),"")="","",IFERROR(INDEX(Spots!$K$2:$K$96,MATCH(A1311,Spots!$A$2:$A$96,0)),""))</f>
        <v/>
      </c>
      <c r="L1311" s="3">
        <f>IF(OR(K1311="",F1311=""),"",F1311/1000*K1311*100)</f>
        <v/>
      </c>
      <c r="M1311">
        <f>IF(OR(L1311="",L1311=0),"",ROUND(100/L1311,0))</f>
        <v/>
      </c>
      <c r="N1311" t="inlineStr">
        <is>
          <t>low sample</t>
        </is>
      </c>
    </row>
    <row r="1312">
      <c r="A1312" t="n">
        <v>194</v>
      </c>
      <c r="B1312" t="inlineStr">
        <is>
          <t>Zephyrus Castle</t>
        </is>
      </c>
      <c r="C1312" t="inlineStr">
        <is>
          <t>Black Stone</t>
        </is>
      </c>
      <c r="D1312" t="n">
        <v>21.306</v>
      </c>
      <c r="E1312" t="n">
        <v>7901.4</v>
      </c>
      <c r="F1312" s="3" t="n">
        <v>2.696484167362746</v>
      </c>
      <c r="G1312" t="n">
        <v>371</v>
      </c>
      <c r="H1312" s="3" t="n">
        <v>2.680892400348162</v>
      </c>
      <c r="I1312" s="3" t="n">
        <v>2.712144123443608</v>
      </c>
      <c r="J1312" t="n">
        <v>114571.2</v>
      </c>
      <c r="K1312">
        <f>IF(IFERROR(INDEX(Spots!$K$2:$K$96,MATCH(A1312,Spots!$A$2:$A$96,0)),"")="","",IFERROR(INDEX(Spots!$K$2:$K$96,MATCH(A1312,Spots!$A$2:$A$96,0)),""))</f>
        <v/>
      </c>
      <c r="L1312" s="3">
        <f>IF(OR(K1312="",F1312=""),"",F1312/1000*K1312*100)</f>
        <v/>
      </c>
      <c r="M1312">
        <f>IF(OR(L1312="",L1312=0),"",ROUND(100/L1312,0))</f>
        <v/>
      </c>
      <c r="N1312" t="inlineStr"/>
    </row>
    <row r="1313">
      <c r="A1313" t="n">
        <v>194</v>
      </c>
      <c r="B1313" t="inlineStr">
        <is>
          <t>Zephyrus Castle</t>
        </is>
      </c>
      <c r="C1313" t="inlineStr">
        <is>
          <t>Ancient Spirit Dust</t>
        </is>
      </c>
      <c r="D1313" t="n">
        <v>19.579</v>
      </c>
      <c r="E1313" t="n">
        <v>7901.4</v>
      </c>
      <c r="F1313" s="3" t="n">
        <v>2.477915306148278</v>
      </c>
      <c r="G1313" t="n">
        <v>404</v>
      </c>
      <c r="H1313" s="3" t="n">
        <v>2.462969725452353</v>
      </c>
      <c r="I1313" s="3" t="n">
        <v>2.492929078848415</v>
      </c>
      <c r="J1313" t="n">
        <v>105284.4</v>
      </c>
      <c r="K1313">
        <f>IF(IFERROR(INDEX(Spots!$K$2:$K$96,MATCH(A1313,Spots!$A$2:$A$96,0)),"")="","",IFERROR(INDEX(Spots!$K$2:$K$96,MATCH(A1313,Spots!$A$2:$A$96,0)),""))</f>
        <v/>
      </c>
      <c r="L1313" s="3">
        <f>IF(OR(K1313="",F1313=""),"",F1313/1000*K1313*100)</f>
        <v/>
      </c>
      <c r="M1313">
        <f>IF(OR(L1313="",L1313=0),"",ROUND(100/L1313,0))</f>
        <v/>
      </c>
      <c r="N1313" t="inlineStr"/>
    </row>
    <row r="1314">
      <c r="A1314" t="n">
        <v>194</v>
      </c>
      <c r="B1314" t="inlineStr">
        <is>
          <t>Zephyrus Castle</t>
        </is>
      </c>
      <c r="C1314" t="inlineStr">
        <is>
          <t>Caphras Stone</t>
        </is>
      </c>
      <c r="D1314" t="n">
        <v>9.765202</v>
      </c>
      <c r="E1314" t="n">
        <v>7901.4</v>
      </c>
      <c r="F1314" s="3" t="n">
        <v>1.235882501835118</v>
      </c>
      <c r="G1314" t="n">
        <v>809</v>
      </c>
      <c r="H1314" s="3" t="n">
        <v>1.225334060822453</v>
      </c>
      <c r="I1314" s="3" t="n">
        <v>1.246499164373063</v>
      </c>
      <c r="J1314" t="n">
        <v>52511.6</v>
      </c>
      <c r="K1314">
        <f>IF(IFERROR(INDEX(Spots!$K$2:$K$96,MATCH(A1314,Spots!$A$2:$A$96,0)),"")="","",IFERROR(INDEX(Spots!$K$2:$K$96,MATCH(A1314,Spots!$A$2:$A$96,0)),""))</f>
        <v/>
      </c>
      <c r="L1314" s="3">
        <f>IF(OR(K1314="",F1314=""),"",F1314/1000*K1314*100)</f>
        <v/>
      </c>
      <c r="M1314">
        <f>IF(OR(L1314="",L1314=0),"",ROUND(100/L1314,0))</f>
        <v/>
      </c>
      <c r="N1314" t="inlineStr"/>
    </row>
    <row r="1315">
      <c r="A1315" t="n">
        <v>194</v>
      </c>
      <c r="B1315" t="inlineStr">
        <is>
          <t>Zephyrus Castle</t>
        </is>
      </c>
      <c r="C1315" t="inlineStr">
        <is>
          <t>Sealed Black Magic Crystal</t>
        </is>
      </c>
      <c r="D1315" t="n">
        <v>6.483002</v>
      </c>
      <c r="E1315" t="n">
        <v>7901.4</v>
      </c>
      <c r="F1315" s="3" t="n">
        <v>0.8204877616624902</v>
      </c>
      <c r="G1315" t="n">
        <v>1219</v>
      </c>
      <c r="H1315" s="3" t="n">
        <v>0.8118970977187344</v>
      </c>
      <c r="I1315" s="3" t="n">
        <v>0.8291466699621199</v>
      </c>
      <c r="J1315" t="n">
        <v>34861.8</v>
      </c>
      <c r="K1315">
        <f>IF(IFERROR(INDEX(Spots!$K$2:$K$96,MATCH(A1315,Spots!$A$2:$A$96,0)),"")="","",IFERROR(INDEX(Spots!$K$2:$K$96,MATCH(A1315,Spots!$A$2:$A$96,0)),""))</f>
        <v/>
      </c>
      <c r="L1315" s="3">
        <f>IF(OR(K1315="",F1315=""),"",F1315/1000*K1315*100)</f>
        <v/>
      </c>
      <c r="M1315">
        <f>IF(OR(L1315="",L1315=0),"",ROUND(100/L1315,0))</f>
        <v/>
      </c>
      <c r="N1315" t="inlineStr"/>
    </row>
    <row r="1316">
      <c r="A1316" t="n">
        <v>194</v>
      </c>
      <c r="B1316" t="inlineStr">
        <is>
          <t>Zephyrus Castle</t>
        </is>
      </c>
      <c r="C1316" t="inlineStr">
        <is>
          <t>Crystallized Energy of Endtimes</t>
        </is>
      </c>
      <c r="D1316" t="n">
        <v>2.322073</v>
      </c>
      <c r="E1316" t="n">
        <v>7901.4</v>
      </c>
      <c r="F1316" s="3" t="n">
        <v>0.2938812109246463</v>
      </c>
      <c r="G1316" t="n">
        <v>3403</v>
      </c>
      <c r="H1316" s="3" t="n">
        <v>0.2887488398333026</v>
      </c>
      <c r="I1316" s="3" t="n">
        <v>0.2990819089913483</v>
      </c>
      <c r="J1316" t="n">
        <v>12486.8</v>
      </c>
      <c r="K1316">
        <f>IF(IFERROR(INDEX(Spots!$K$2:$K$96,MATCH(A1316,Spots!$A$2:$A$96,0)),"")="","",IFERROR(INDEX(Spots!$K$2:$K$96,MATCH(A1316,Spots!$A$2:$A$96,0)),""))</f>
        <v/>
      </c>
      <c r="L1316" s="3">
        <f>IF(OR(K1316="",F1316=""),"",F1316/1000*K1316*100)</f>
        <v/>
      </c>
      <c r="M1316">
        <f>IF(OR(L1316="",L1316=0),"",ROUND(100/L1316,0))</f>
        <v/>
      </c>
      <c r="N1316" t="inlineStr"/>
    </row>
    <row r="1317">
      <c r="A1317" t="n">
        <v>194</v>
      </c>
      <c r="B1317" t="inlineStr">
        <is>
          <t>Zephyrus Castle</t>
        </is>
      </c>
      <c r="C1317" t="inlineStr">
        <is>
          <t>Herald's Crystal</t>
        </is>
      </c>
      <c r="D1317" t="n">
        <v>2.183649</v>
      </c>
      <c r="E1317" t="n">
        <v>7901.4</v>
      </c>
      <c r="F1317" s="3" t="n">
        <v>0.2763622902270484</v>
      </c>
      <c r="G1317" t="n">
        <v>3618</v>
      </c>
      <c r="H1317" s="3" t="n">
        <v>0.2713859223214705</v>
      </c>
      <c r="I1317" s="3" t="n">
        <v>0.2814069915242224</v>
      </c>
      <c r="J1317" t="n">
        <v>11742.4</v>
      </c>
      <c r="K1317">
        <f>IF(IFERROR(INDEX(Spots!$K$2:$K$96,MATCH(A1317,Spots!$A$2:$A$96,0)),"")="","",IFERROR(INDEX(Spots!$K$2:$K$96,MATCH(A1317,Spots!$A$2:$A$96,0)),""))</f>
        <v/>
      </c>
      <c r="L1317" s="3">
        <f>IF(OR(K1317="",F1317=""),"",F1317/1000*K1317*100)</f>
        <v/>
      </c>
      <c r="M1317">
        <f>IF(OR(L1317="",L1317=0),"",ROUND(100/L1317,0))</f>
        <v/>
      </c>
      <c r="N1317" t="inlineStr"/>
    </row>
    <row r="1318">
      <c r="A1318" t="n">
        <v>194</v>
      </c>
      <c r="B1318" t="inlineStr">
        <is>
          <t>Zephyrus Castle</t>
        </is>
      </c>
      <c r="C1318" t="inlineStr">
        <is>
          <t>HAN Crystal of Ruin</t>
        </is>
      </c>
      <c r="D1318" t="n">
        <v>1.473276</v>
      </c>
      <c r="E1318" t="n">
        <v>7901.4</v>
      </c>
      <c r="F1318" s="3" t="n">
        <v>0.1864575897942137</v>
      </c>
      <c r="G1318" t="n">
        <v>5363</v>
      </c>
      <c r="H1318" s="3" t="n">
        <v>0.1823740343779157</v>
      </c>
      <c r="I1318" s="3" t="n">
        <v>0.1906095246790194</v>
      </c>
      <c r="J1318" t="n">
        <v>7922.4</v>
      </c>
      <c r="K1318">
        <f>IF(IFERROR(INDEX(Spots!$K$2:$K$96,MATCH(A1318,Spots!$A$2:$A$96,0)),"")="","",IFERROR(INDEX(Spots!$K$2:$K$96,MATCH(A1318,Spots!$A$2:$A$96,0)),""))</f>
        <v/>
      </c>
      <c r="L1318" s="3">
        <f>IF(OR(K1318="",F1318=""),"",F1318/1000*K1318*100)</f>
        <v/>
      </c>
      <c r="M1318">
        <f>IF(OR(L1318="",L1318=0),"",ROUND(100/L1318,0))</f>
        <v/>
      </c>
      <c r="N1318" t="inlineStr"/>
    </row>
    <row r="1319">
      <c r="A1319" t="n">
        <v>194</v>
      </c>
      <c r="B1319" t="inlineStr">
        <is>
          <t>Zephyrus Castle</t>
        </is>
      </c>
      <c r="C1319" t="inlineStr">
        <is>
          <t>Distorted Fragment of Origin</t>
        </is>
      </c>
      <c r="D1319" t="n">
        <v>0.52428442</v>
      </c>
      <c r="E1319" t="n">
        <v>7901.4</v>
      </c>
      <c r="F1319" s="3" t="n">
        <v>0.06635335763282457</v>
      </c>
      <c r="G1319" t="n">
        <v>15071</v>
      </c>
      <c r="H1319" s="3" t="n">
        <v>0.06392638133594118</v>
      </c>
      <c r="I1319" s="3" t="n">
        <v>0.06884888750315123</v>
      </c>
      <c r="J1319" t="n">
        <v>2819.3</v>
      </c>
      <c r="K1319">
        <f>IF(IFERROR(INDEX(Spots!$K$2:$K$96,MATCH(A1319,Spots!$A$2:$A$96,0)),"")="","",IFERROR(INDEX(Spots!$K$2:$K$96,MATCH(A1319,Spots!$A$2:$A$96,0)),""))</f>
        <v/>
      </c>
      <c r="L1319" s="3">
        <f>IF(OR(K1319="",F1319=""),"",F1319/1000*K1319*100)</f>
        <v/>
      </c>
      <c r="M1319">
        <f>IF(OR(L1319="",L1319=0),"",ROUND(100/L1319,0))</f>
        <v/>
      </c>
      <c r="N1319" t="inlineStr"/>
    </row>
    <row r="1320">
      <c r="A1320" t="n">
        <v>194</v>
      </c>
      <c r="B1320" t="inlineStr">
        <is>
          <t>Zephyrus Castle</t>
        </is>
      </c>
      <c r="C1320" t="inlineStr">
        <is>
          <t>Silent Fragment of Origin</t>
        </is>
      </c>
      <c r="D1320" t="n">
        <v>0.22740702</v>
      </c>
      <c r="E1320" t="n">
        <v>7901.4</v>
      </c>
      <c r="F1320" s="3" t="n">
        <v>0.02878059837497152</v>
      </c>
      <c r="G1320" t="n">
        <v>34746</v>
      </c>
      <c r="H1320" s="3" t="n">
        <v>0.02718987293260211</v>
      </c>
      <c r="I1320" s="3" t="n">
        <v>0.03044010021240761</v>
      </c>
      <c r="J1320" t="n">
        <v>1222.9</v>
      </c>
      <c r="K1320">
        <f>IF(IFERROR(INDEX(Spots!$K$2:$K$96,MATCH(A1320,Spots!$A$2:$A$96,0)),"")="","",IFERROR(INDEX(Spots!$K$2:$K$96,MATCH(A1320,Spots!$A$2:$A$96,0)),""))</f>
        <v/>
      </c>
      <c r="L1320" s="3">
        <f>IF(OR(K1320="",F1320=""),"",F1320/1000*K1320*100)</f>
        <v/>
      </c>
      <c r="M1320">
        <f>IF(OR(L1320="",L1320=0),"",ROUND(100/L1320,0))</f>
        <v/>
      </c>
      <c r="N1320" t="inlineStr"/>
    </row>
    <row r="1321">
      <c r="A1321" t="n">
        <v>194</v>
      </c>
      <c r="B1321" t="inlineStr">
        <is>
          <t>Zephyrus Castle</t>
        </is>
      </c>
      <c r="C1321" t="inlineStr">
        <is>
          <t>Deboreka Ring</t>
        </is>
      </c>
      <c r="D1321" t="n">
        <v>0.16697974</v>
      </c>
      <c r="E1321" t="n">
        <v>7901.4</v>
      </c>
      <c r="F1321" s="3" t="n">
        <v>0.02113293087300985</v>
      </c>
      <c r="G1321" t="n">
        <v>47320</v>
      </c>
      <c r="H1321" s="3" t="n">
        <v>0.01977306059670604</v>
      </c>
      <c r="I1321" s="3" t="n">
        <v>0.02256168617209777</v>
      </c>
      <c r="J1321" t="n">
        <v>897.9</v>
      </c>
      <c r="K1321">
        <f>IF(IFERROR(INDEX(Spots!$K$2:$K$96,MATCH(A1321,Spots!$A$2:$A$96,0)),"")="","",IFERROR(INDEX(Spots!$K$2:$K$96,MATCH(A1321,Spots!$A$2:$A$96,0)),""))</f>
        <v/>
      </c>
      <c r="L1321" s="3">
        <f>IF(OR(K1321="",F1321=""),"",F1321/1000*K1321*100)</f>
        <v/>
      </c>
      <c r="M1321">
        <f>IF(OR(L1321="",L1321=0),"",ROUND(100/L1321,0))</f>
        <v/>
      </c>
      <c r="N1321" t="inlineStr"/>
    </row>
    <row r="1322">
      <c r="A1322" t="n">
        <v>194</v>
      </c>
      <c r="B1322" t="inlineStr">
        <is>
          <t>Zephyrus Castle</t>
        </is>
      </c>
      <c r="C1322" t="inlineStr">
        <is>
          <t>Deboreka Earring</t>
        </is>
      </c>
      <c r="D1322" t="n">
        <v>0.16665614</v>
      </c>
      <c r="E1322" t="n">
        <v>7901.4</v>
      </c>
      <c r="F1322" s="3" t="n">
        <v>0.02109197610550029</v>
      </c>
      <c r="G1322" t="n">
        <v>47411</v>
      </c>
      <c r="H1322" s="3" t="n">
        <v>0.01973344599741609</v>
      </c>
      <c r="I1322" s="3" t="n">
        <v>0.02251939197216634</v>
      </c>
      <c r="J1322" t="n">
        <v>896.2</v>
      </c>
      <c r="K1322">
        <f>IF(IFERROR(INDEX(Spots!$K$2:$K$96,MATCH(A1322,Spots!$A$2:$A$96,0)),"")="","",IFERROR(INDEX(Spots!$K$2:$K$96,MATCH(A1322,Spots!$A$2:$A$96,0)),""))</f>
        <v/>
      </c>
      <c r="L1322" s="3">
        <f>IF(OR(K1322="",F1322=""),"",F1322/1000*K1322*100)</f>
        <v/>
      </c>
      <c r="M1322">
        <f>IF(OR(L1322="",L1322=0),"",ROUND(100/L1322,0))</f>
        <v/>
      </c>
      <c r="N1322" t="inlineStr"/>
    </row>
    <row r="1323">
      <c r="A1323" t="n">
        <v>194</v>
      </c>
      <c r="B1323" t="inlineStr">
        <is>
          <t>Zephyrus Castle</t>
        </is>
      </c>
      <c r="C1323" t="inlineStr">
        <is>
          <t>Deboreka Necklace</t>
        </is>
      </c>
      <c r="D1323" t="n">
        <v>0.0343594</v>
      </c>
      <c r="E1323" t="n">
        <v>7901.4</v>
      </c>
      <c r="F1323" s="3" t="n">
        <v>0.00434852051535171</v>
      </c>
      <c r="G1323" t="n">
        <v>229963</v>
      </c>
      <c r="H1323" s="3" t="n">
        <v>0.003744041452391701</v>
      </c>
      <c r="I1323" s="3" t="n">
        <v>0.005022789075795157</v>
      </c>
      <c r="J1323" t="n">
        <v>184.8</v>
      </c>
      <c r="K1323">
        <f>IF(IFERROR(INDEX(Spots!$K$2:$K$96,MATCH(A1323,Spots!$A$2:$A$96,0)),"")="","",IFERROR(INDEX(Spots!$K$2:$K$96,MATCH(A1323,Spots!$A$2:$A$96,0)),""))</f>
        <v/>
      </c>
      <c r="L1323" s="3">
        <f>IF(OR(K1323="",F1323=""),"",F1323/1000*K1323*100)</f>
        <v/>
      </c>
      <c r="M1323">
        <f>IF(OR(L1323="",L1323=0),"",ROUND(100/L1323,0))</f>
        <v/>
      </c>
      <c r="N1323" t="inlineStr"/>
    </row>
    <row r="1324">
      <c r="A1324" t="n">
        <v>194</v>
      </c>
      <c r="B1324" t="inlineStr">
        <is>
          <t>Zephyrus Castle</t>
        </is>
      </c>
      <c r="C1324" t="inlineStr">
        <is>
          <t>Deboreka Belt</t>
        </is>
      </c>
      <c r="D1324" t="n">
        <v>0.03281749</v>
      </c>
      <c r="E1324" t="n">
        <v>7901.4</v>
      </c>
      <c r="F1324" s="3" t="n">
        <v>0.004153376616802085</v>
      </c>
      <c r="G1324" t="n">
        <v>240768</v>
      </c>
      <c r="H1324" s="3" t="n">
        <v>0.003563133960286801</v>
      </c>
      <c r="I1324" s="3" t="n">
        <v>0.004813446811367686</v>
      </c>
      <c r="J1324" t="n">
        <v>176.5</v>
      </c>
      <c r="K1324">
        <f>IF(IFERROR(INDEX(Spots!$K$2:$K$96,MATCH(A1324,Spots!$A$2:$A$96,0)),"")="","",IFERROR(INDEX(Spots!$K$2:$K$96,MATCH(A1324,Spots!$A$2:$A$96,0)),""))</f>
        <v/>
      </c>
      <c r="L1324" s="3">
        <f>IF(OR(K1324="",F1324=""),"",F1324/1000*K1324*100)</f>
        <v/>
      </c>
      <c r="M1324">
        <f>IF(OR(L1324="",L1324=0),"",ROUND(100/L1324,0))</f>
        <v/>
      </c>
      <c r="N1324" t="inlineStr"/>
    </row>
    <row r="1325">
      <c r="A1325" t="n">
        <v>194</v>
      </c>
      <c r="B1325" t="inlineStr">
        <is>
          <t>Zephyrus Castle</t>
        </is>
      </c>
      <c r="C1325" t="inlineStr">
        <is>
          <t>HAN Crystal of Dusky Ruin</t>
        </is>
      </c>
      <c r="D1325" t="n">
        <v>0.02338561</v>
      </c>
      <c r="E1325" t="n">
        <v>7901.4</v>
      </c>
      <c r="F1325" s="3" t="n">
        <v>0.002959679297339712</v>
      </c>
      <c r="G1325" t="n">
        <v>337874</v>
      </c>
      <c r="H1325" s="3" t="n">
        <v>0.002464984312416443</v>
      </c>
      <c r="I1325" s="3" t="n">
        <v>0.003524510006947108</v>
      </c>
      <c r="J1325" t="n">
        <v>125.8</v>
      </c>
      <c r="K1325">
        <f>IF(IFERROR(INDEX(Spots!$K$2:$K$96,MATCH(A1325,Spots!$A$2:$A$96,0)),"")="","",IFERROR(INDEX(Spots!$K$2:$K$96,MATCH(A1325,Spots!$A$2:$A$96,0)),""))</f>
        <v/>
      </c>
      <c r="L1325" s="3">
        <f>IF(OR(K1325="",F1325=""),"",F1325/1000*K1325*100)</f>
        <v/>
      </c>
      <c r="M1325">
        <f>IF(OR(L1325="",L1325=0),"",ROUND(100/L1325,0))</f>
        <v/>
      </c>
      <c r="N1325" t="inlineStr"/>
    </row>
    <row r="1326">
      <c r="A1326" t="n">
        <v>194</v>
      </c>
      <c r="B1326" t="inlineStr">
        <is>
          <t>Zephyrus Castle</t>
        </is>
      </c>
      <c r="C1326" t="inlineStr">
        <is>
          <t>Flawless Herald's Crystal</t>
        </is>
      </c>
      <c r="D1326" t="n">
        <v>0.00516467</v>
      </c>
      <c r="E1326" t="n">
        <v>7901.4</v>
      </c>
      <c r="F1326" s="3" t="n">
        <v>0.0006536398612904043</v>
      </c>
      <c r="G1326" t="n">
        <v>1529894</v>
      </c>
      <c r="H1326" s="3" t="n">
        <v>0.0004334384045902411</v>
      </c>
      <c r="I1326" s="3" t="n">
        <v>0.0009461369264294328</v>
      </c>
      <c r="J1326" t="n">
        <v>27.8</v>
      </c>
      <c r="K1326">
        <f>IF(IFERROR(INDEX(Spots!$K$2:$K$96,MATCH(A1326,Spots!$A$2:$A$96,0)),"")="","",IFERROR(INDEX(Spots!$K$2:$K$96,MATCH(A1326,Spots!$A$2:$A$96,0)),""))</f>
        <v/>
      </c>
      <c r="L1326" s="3">
        <f>IF(OR(K1326="",F1326=""),"",F1326/1000*K1326*100)</f>
        <v/>
      </c>
      <c r="M1326">
        <f>IF(OR(L1326="",L1326=0),"",ROUND(100/L1326,0))</f>
        <v/>
      </c>
      <c r="N1326" t="inlineStr">
        <is>
          <t>low sample</t>
        </is>
      </c>
    </row>
    <row r="1327">
      <c r="A1327" t="n">
        <v>194</v>
      </c>
      <c r="B1327" t="inlineStr">
        <is>
          <t>Zephyrus Castle</t>
        </is>
      </c>
      <c r="C1327" t="inlineStr">
        <is>
          <t>Distorted Crystal of Origin</t>
        </is>
      </c>
      <c r="D1327" t="n">
        <v>0.0006174</v>
      </c>
      <c r="E1327" t="n">
        <v>7901.4</v>
      </c>
      <c r="F1327" s="3" t="n">
        <v>7.813805148454706e-05</v>
      </c>
      <c r="G1327" t="n">
        <v>12797862</v>
      </c>
      <c r="H1327" s="3" t="n">
        <v>1.755942944150803e-05</v>
      </c>
      <c r="I1327" s="3" t="n">
        <v>0.000217558836900848</v>
      </c>
      <c r="J1327" t="n">
        <v>3.3</v>
      </c>
      <c r="K1327">
        <f>IF(IFERROR(INDEX(Spots!$K$2:$K$96,MATCH(A1327,Spots!$A$2:$A$96,0)),"")="","",IFERROR(INDEX(Spots!$K$2:$K$96,MATCH(A1327,Spots!$A$2:$A$96,0)),""))</f>
        <v/>
      </c>
      <c r="L1327" s="3">
        <f>IF(OR(K1327="",F1327=""),"",F1327/1000*K1327*100)</f>
        <v/>
      </c>
      <c r="M1327">
        <f>IF(OR(L1327="",L1327=0),"",ROUND(100/L1327,0))</f>
        <v/>
      </c>
      <c r="N1327" t="inlineStr">
        <is>
          <t>low sample</t>
        </is>
      </c>
    </row>
    <row r="1328">
      <c r="A1328" t="n">
        <v>194</v>
      </c>
      <c r="B1328" t="inlineStr">
        <is>
          <t>Zephyrus Castle</t>
        </is>
      </c>
      <c r="C1328" t="inlineStr">
        <is>
          <t>Silent Crystal of Origin</t>
        </is>
      </c>
      <c r="D1328" t="n">
        <v>0.00026044</v>
      </c>
      <c r="E1328" t="n">
        <v>7901.4</v>
      </c>
      <c r="F1328" s="3" t="n">
        <v>3.296124737388311e-05</v>
      </c>
      <c r="G1328" t="n">
        <v>30338658</v>
      </c>
      <c r="H1328" s="3" t="n">
        <v>1.650611070152304e-06</v>
      </c>
      <c r="I1328" s="3" t="n">
        <v>0.0001469958122710627</v>
      </c>
      <c r="J1328" t="n">
        <v>1.4</v>
      </c>
      <c r="K1328">
        <f>IF(IFERROR(INDEX(Spots!$K$2:$K$96,MATCH(A1328,Spots!$A$2:$A$96,0)),"")="","",IFERROR(INDEX(Spots!$K$2:$K$96,MATCH(A1328,Spots!$A$2:$A$96,0)),""))</f>
        <v/>
      </c>
      <c r="L1328" s="3">
        <f>IF(OR(K1328="",F1328=""),"",F1328/1000*K1328*100)</f>
        <v/>
      </c>
      <c r="M1328">
        <f>IF(OR(L1328="",L1328=0),"",ROUND(100/L1328,0))</f>
        <v/>
      </c>
      <c r="N1328" t="inlineStr">
        <is>
          <t>low sample</t>
        </is>
      </c>
    </row>
    <row r="1329">
      <c r="A1329" t="n">
        <v>162</v>
      </c>
      <c r="B1329" t="inlineStr">
        <is>
          <t>[Dehkia 2] Ash Forest</t>
        </is>
      </c>
      <c r="C1329" t="inlineStr">
        <is>
          <t>Black Stone</t>
        </is>
      </c>
      <c r="D1329" t="n">
        <v>30.605</v>
      </c>
      <c r="E1329" t="n">
        <v>9677</v>
      </c>
      <c r="F1329" s="3" t="n">
        <v>3.162653714994316</v>
      </c>
      <c r="G1329" t="n">
        <v>316</v>
      </c>
      <c r="H1329" s="3" t="n">
        <v>3.152303676512383</v>
      </c>
      <c r="I1329" s="3" t="n">
        <v>3.173029329095733</v>
      </c>
      <c r="J1329" t="n">
        <v>358120.8</v>
      </c>
      <c r="K1329">
        <f>IF(IFERROR(INDEX(Spots!$K$2:$K$96,MATCH(A1329,Spots!$A$2:$A$96,0)),"")="","",IFERROR(INDEX(Spots!$K$2:$K$96,MATCH(A1329,Spots!$A$2:$A$96,0)),""))</f>
        <v/>
      </c>
      <c r="L1329" s="3">
        <f>IF(OR(K1329="",F1329=""),"",F1329/1000*K1329*100)</f>
        <v/>
      </c>
      <c r="M1329">
        <f>IF(OR(L1329="",L1329=0),"",ROUND(100/L1329,0))</f>
        <v/>
      </c>
      <c r="N1329" t="inlineStr"/>
    </row>
    <row r="1330">
      <c r="A1330" t="n">
        <v>162</v>
      </c>
      <c r="B1330" t="inlineStr">
        <is>
          <t>[Dehkia 2] Ash Forest</t>
        </is>
      </c>
      <c r="C1330" t="inlineStr">
        <is>
          <t>Caphras Stone</t>
        </is>
      </c>
      <c r="D1330" t="n">
        <v>30.256</v>
      </c>
      <c r="E1330" t="n">
        <v>9677</v>
      </c>
      <c r="F1330" s="3" t="n">
        <v>3.126588818848817</v>
      </c>
      <c r="G1330" t="n">
        <v>320</v>
      </c>
      <c r="H1330" s="3" t="n">
        <v>3.116298010061906</v>
      </c>
      <c r="I1330" s="3" t="n">
        <v>3.136905203338322</v>
      </c>
      <c r="J1330" t="n">
        <v>354037.1</v>
      </c>
      <c r="K1330">
        <f>IF(IFERROR(INDEX(Spots!$K$2:$K$96,MATCH(A1330,Spots!$A$2:$A$96,0)),"")="","",IFERROR(INDEX(Spots!$K$2:$K$96,MATCH(A1330,Spots!$A$2:$A$96,0)),""))</f>
        <v/>
      </c>
      <c r="L1330" s="3">
        <f>IF(OR(K1330="",F1330=""),"",F1330/1000*K1330*100)</f>
        <v/>
      </c>
      <c r="M1330">
        <f>IF(OR(L1330="",L1330=0),"",ROUND(100/L1330,0))</f>
        <v/>
      </c>
      <c r="N1330" t="inlineStr"/>
    </row>
    <row r="1331">
      <c r="A1331" t="n">
        <v>162</v>
      </c>
      <c r="B1331" t="inlineStr">
        <is>
          <t>[Dehkia 2] Ash Forest</t>
        </is>
      </c>
      <c r="C1331" t="inlineStr">
        <is>
          <t>Manshaum Voodoo Doll</t>
        </is>
      </c>
      <c r="D1331" t="n">
        <v>1.709878</v>
      </c>
      <c r="E1331" t="n">
        <v>9677</v>
      </c>
      <c r="F1331" s="3" t="n">
        <v>0.1766950501188385</v>
      </c>
      <c r="G1331" t="n">
        <v>5659</v>
      </c>
      <c r="H1331" s="3" t="n">
        <v>0.1742550421858093</v>
      </c>
      <c r="I1331" s="3" t="n">
        <v>0.1791606803062399</v>
      </c>
      <c r="J1331" t="n">
        <v>20007.9</v>
      </c>
      <c r="K1331">
        <f>IF(IFERROR(INDEX(Spots!$K$2:$K$96,MATCH(A1331,Spots!$A$2:$A$96,0)),"")="","",IFERROR(INDEX(Spots!$K$2:$K$96,MATCH(A1331,Spots!$A$2:$A$96,0)),""))</f>
        <v/>
      </c>
      <c r="L1331" s="3">
        <f>IF(OR(K1331="",F1331=""),"",F1331/1000*K1331*100)</f>
        <v/>
      </c>
      <c r="M1331">
        <f>IF(OR(L1331="",L1331=0),"",ROUND(100/L1331,0))</f>
        <v/>
      </c>
      <c r="N1331" t="inlineStr"/>
    </row>
    <row r="1332">
      <c r="A1332" t="n">
        <v>162</v>
      </c>
      <c r="B1332" t="inlineStr">
        <is>
          <t>[Dehkia 2] Ash Forest</t>
        </is>
      </c>
      <c r="C1332" t="inlineStr">
        <is>
          <t>Void Tainted Whispers</t>
        </is>
      </c>
      <c r="D1332" t="n">
        <v>1.147103</v>
      </c>
      <c r="E1332" t="n">
        <v>9677</v>
      </c>
      <c r="F1332" s="3" t="n">
        <v>0.118539113361579</v>
      </c>
      <c r="G1332" t="n">
        <v>8436</v>
      </c>
      <c r="H1332" s="3" t="n">
        <v>0.1165421043966899</v>
      </c>
      <c r="I1332" s="3" t="n">
        <v>0.1205617580508815</v>
      </c>
      <c r="J1332" t="n">
        <v>13422.7</v>
      </c>
      <c r="K1332">
        <f>IF(IFERROR(INDEX(Spots!$K$2:$K$96,MATCH(A1332,Spots!$A$2:$A$96,0)),"")="","",IFERROR(INDEX(Spots!$K$2:$K$96,MATCH(A1332,Spots!$A$2:$A$96,0)),""))</f>
        <v/>
      </c>
      <c r="L1332" s="3">
        <f>IF(OR(K1332="",F1332=""),"",F1332/1000*K1332*100)</f>
        <v/>
      </c>
      <c r="M1332">
        <f>IF(OR(L1332="",L1332=0),"",ROUND(100/L1332,0))</f>
        <v/>
      </c>
      <c r="N1332" t="inlineStr"/>
    </row>
    <row r="1333">
      <c r="A1333" t="n">
        <v>162</v>
      </c>
      <c r="B1333" t="inlineStr">
        <is>
          <t>[Dehkia 2] Ash Forest</t>
        </is>
      </c>
      <c r="C1333" t="inlineStr">
        <is>
          <t>Dehkia's Fragment</t>
        </is>
      </c>
      <c r="D1333" t="n">
        <v>0.96615083</v>
      </c>
      <c r="E1333" t="n">
        <v>9677</v>
      </c>
      <c r="F1333" s="3" t="n">
        <v>0.09983991216286038</v>
      </c>
      <c r="G1333" t="n">
        <v>10016</v>
      </c>
      <c r="H1333" s="3" t="n">
        <v>0.09800786052387402</v>
      </c>
      <c r="I1333" s="3" t="n">
        <v>0.1016976061954685</v>
      </c>
      <c r="J1333" t="n">
        <v>11305.3</v>
      </c>
      <c r="K1333">
        <f>IF(IFERROR(INDEX(Spots!$K$2:$K$96,MATCH(A1333,Spots!$A$2:$A$96,0)),"")="","",IFERROR(INDEX(Spots!$K$2:$K$96,MATCH(A1333,Spots!$A$2:$A$96,0)),""))</f>
        <v/>
      </c>
      <c r="L1333" s="3">
        <f>IF(OR(K1333="",F1333=""),"",F1333/1000*K1333*100)</f>
        <v/>
      </c>
      <c r="M1333">
        <f>IF(OR(L1333="",L1333=0),"",ROUND(100/L1333,0))</f>
        <v/>
      </c>
      <c r="N1333" t="inlineStr"/>
    </row>
    <row r="1334">
      <c r="A1334" t="n">
        <v>162</v>
      </c>
      <c r="B1334" t="inlineStr">
        <is>
          <t>[Dehkia 2] Ash Forest</t>
        </is>
      </c>
      <c r="C1334" t="inlineStr">
        <is>
          <t>Deboreka Necklace</t>
        </is>
      </c>
      <c r="D1334" t="n">
        <v>0.30321289</v>
      </c>
      <c r="E1334" t="n">
        <v>9677</v>
      </c>
      <c r="F1334" s="3" t="n">
        <v>0.03133335641211119</v>
      </c>
      <c r="G1334" t="n">
        <v>31915</v>
      </c>
      <c r="H1334" s="3" t="n">
        <v>0.03031071610661546</v>
      </c>
      <c r="I1334" s="3" t="n">
        <v>0.03238170264599012</v>
      </c>
      <c r="J1334" t="n">
        <v>3548</v>
      </c>
      <c r="K1334">
        <f>IF(IFERROR(INDEX(Spots!$K$2:$K$96,MATCH(A1334,Spots!$A$2:$A$96,0)),"")="","",IFERROR(INDEX(Spots!$K$2:$K$96,MATCH(A1334,Spots!$A$2:$A$96,0)),""))</f>
        <v/>
      </c>
      <c r="L1334" s="3">
        <f>IF(OR(K1334="",F1334=""),"",F1334/1000*K1334*100)</f>
        <v/>
      </c>
      <c r="M1334">
        <f>IF(OR(L1334="",L1334=0),"",ROUND(100/L1334,0))</f>
        <v/>
      </c>
      <c r="N1334" t="inlineStr"/>
    </row>
    <row r="1335">
      <c r="A1335" t="n">
        <v>162</v>
      </c>
      <c r="B1335" t="inlineStr">
        <is>
          <t>[Dehkia 2] Ash Forest</t>
        </is>
      </c>
      <c r="C1335" t="inlineStr">
        <is>
          <t>Quturan's Black Leaf</t>
        </is>
      </c>
      <c r="D1335" t="n">
        <v>0.0763566</v>
      </c>
      <c r="E1335" t="n">
        <v>9677</v>
      </c>
      <c r="F1335" s="3" t="n">
        <v>0.007890523922703317</v>
      </c>
      <c r="G1335" t="n">
        <v>126734</v>
      </c>
      <c r="H1335" s="3" t="n">
        <v>0.007381541756283238</v>
      </c>
      <c r="I1335" s="3" t="n">
        <v>0.008425354655616323</v>
      </c>
      <c r="J1335" t="n">
        <v>893.5</v>
      </c>
      <c r="K1335">
        <f>IF(IFERROR(INDEX(Spots!$K$2:$K$96,MATCH(A1335,Spots!$A$2:$A$96,0)),"")="","",IFERROR(INDEX(Spots!$K$2:$K$96,MATCH(A1335,Spots!$A$2:$A$96,0)),""))</f>
        <v/>
      </c>
      <c r="L1335" s="3">
        <f>IF(OR(K1335="",F1335=""),"",F1335/1000*K1335*100)</f>
        <v/>
      </c>
      <c r="M1335">
        <f>IF(OR(L1335="",L1335=0),"",ROUND(100/L1335,0))</f>
        <v/>
      </c>
      <c r="N1335" t="inlineStr"/>
    </row>
    <row r="1336">
      <c r="A1336" t="n">
        <v>162</v>
      </c>
      <c r="B1336" t="inlineStr">
        <is>
          <t>[Dehkia 2] Ash Forest</t>
        </is>
      </c>
      <c r="C1336" t="inlineStr">
        <is>
          <t>Crystal of Precise Destruction</t>
        </is>
      </c>
      <c r="D1336" t="n">
        <v>0.07223402</v>
      </c>
      <c r="E1336" t="n">
        <v>9677</v>
      </c>
      <c r="F1336" s="3" t="n">
        <v>0.007464505528572904</v>
      </c>
      <c r="G1336" t="n">
        <v>133967</v>
      </c>
      <c r="H1336" s="3" t="n">
        <v>0.006969685702599522</v>
      </c>
      <c r="I1336" s="3" t="n">
        <v>0.007985181945359273</v>
      </c>
      <c r="J1336" t="n">
        <v>845.2</v>
      </c>
      <c r="K1336">
        <f>IF(IFERROR(INDEX(Spots!$K$2:$K$96,MATCH(A1336,Spots!$A$2:$A$96,0)),"")="","",IFERROR(INDEX(Spots!$K$2:$K$96,MATCH(A1336,Spots!$A$2:$A$96,0)),""))</f>
        <v/>
      </c>
      <c r="L1336" s="3">
        <f>IF(OR(K1336="",F1336=""),"",F1336/1000*K1336*100)</f>
        <v/>
      </c>
      <c r="M1336">
        <f>IF(OR(L1336="",L1336=0),"",ROUND(100/L1336,0))</f>
        <v/>
      </c>
      <c r="N1336" t="inlineStr"/>
    </row>
    <row r="1337">
      <c r="A1337" t="n">
        <v>162</v>
      </c>
      <c r="B1337" t="inlineStr">
        <is>
          <t>[Dehkia 2] Ash Forest</t>
        </is>
      </c>
      <c r="C1337" t="inlineStr">
        <is>
          <t>Ash Forest Paint</t>
        </is>
      </c>
      <c r="D1337" t="n">
        <v>0.06584933</v>
      </c>
      <c r="E1337" t="n">
        <v>9677</v>
      </c>
      <c r="F1337" s="3" t="n">
        <v>0.006804725638110984</v>
      </c>
      <c r="G1337" t="n">
        <v>146957</v>
      </c>
      <c r="H1337" s="3" t="n">
        <v>0.006332662444887087</v>
      </c>
      <c r="I1337" s="3" t="n">
        <v>0.007302659298115671</v>
      </c>
      <c r="J1337" t="n">
        <v>770.5</v>
      </c>
      <c r="K1337">
        <f>IF(IFERROR(INDEX(Spots!$K$2:$K$96,MATCH(A1337,Spots!$A$2:$A$96,0)),"")="","",IFERROR(INDEX(Spots!$K$2:$K$96,MATCH(A1337,Spots!$A$2:$A$96,0)),""))</f>
        <v/>
      </c>
      <c r="L1337" s="3">
        <f>IF(OR(K1337="",F1337=""),"",F1337/1000*K1337*100)</f>
        <v/>
      </c>
      <c r="M1337">
        <f>IF(OR(L1337="",L1337=0),"",ROUND(100/L1337,0))</f>
        <v/>
      </c>
      <c r="N1337" t="inlineStr"/>
    </row>
    <row r="1338">
      <c r="A1338" t="n">
        <v>162</v>
      </c>
      <c r="B1338" t="inlineStr">
        <is>
          <t>[Dehkia 2] Ash Forest</t>
        </is>
      </c>
      <c r="C1338" t="inlineStr">
        <is>
          <t>Crystal of Stalwart Fortitude</t>
        </is>
      </c>
      <c r="D1338" t="n">
        <v>0.02745335</v>
      </c>
      <c r="E1338" t="n">
        <v>9677</v>
      </c>
      <c r="F1338" s="3" t="n">
        <v>0.00283696910199442</v>
      </c>
      <c r="G1338" t="n">
        <v>352489</v>
      </c>
      <c r="H1338" s="3" t="n">
        <v>0.002535170753989096</v>
      </c>
      <c r="I1338" s="3" t="n">
        <v>0.003164805451040854</v>
      </c>
      <c r="J1338" t="n">
        <v>321.2</v>
      </c>
      <c r="K1338">
        <f>IF(IFERROR(INDEX(Spots!$K$2:$K$96,MATCH(A1338,Spots!$A$2:$A$96,0)),"")="","",IFERROR(INDEX(Spots!$K$2:$K$96,MATCH(A1338,Spots!$A$2:$A$96,0)),""))</f>
        <v/>
      </c>
      <c r="L1338" s="3">
        <f>IF(OR(K1338="",F1338=""),"",F1338/1000*K1338*100)</f>
        <v/>
      </c>
      <c r="M1338">
        <f>IF(OR(L1338="",L1338=0),"",ROUND(100/L1338,0))</f>
        <v/>
      </c>
      <c r="N1338" t="inlineStr"/>
    </row>
    <row r="1339">
      <c r="A1339" t="n">
        <v>162</v>
      </c>
      <c r="B1339" t="inlineStr">
        <is>
          <t>[Dehkia 2] Ash Forest</t>
        </is>
      </c>
      <c r="C1339" t="inlineStr">
        <is>
          <t>Forgotten Limbo Box</t>
        </is>
      </c>
      <c r="D1339" t="n">
        <v>0.02426385</v>
      </c>
      <c r="E1339" t="n">
        <v>9677</v>
      </c>
      <c r="F1339" s="3" t="n">
        <v>0.002507373152836623</v>
      </c>
      <c r="G1339" t="n">
        <v>398824</v>
      </c>
      <c r="H1339" s="3" t="n">
        <v>0.002224157105428789</v>
      </c>
      <c r="I1339" s="3" t="n">
        <v>0.002816657148456927</v>
      </c>
      <c r="J1339" t="n">
        <v>283.9</v>
      </c>
      <c r="K1339">
        <f>IF(IFERROR(INDEX(Spots!$K$2:$K$96,MATCH(A1339,Spots!$A$2:$A$96,0)),"")="","",IFERROR(INDEX(Spots!$K$2:$K$96,MATCH(A1339,Spots!$A$2:$A$96,0)),""))</f>
        <v/>
      </c>
      <c r="L1339" s="3">
        <f>IF(OR(K1339="",F1339=""),"",F1339/1000*K1339*100)</f>
        <v/>
      </c>
      <c r="M1339">
        <f>IF(OR(L1339="",L1339=0),"",ROUND(100/L1339,0))</f>
        <v/>
      </c>
      <c r="N1339" t="inlineStr"/>
    </row>
    <row r="1340">
      <c r="A1340" t="n">
        <v>162</v>
      </c>
      <c r="B1340" t="inlineStr">
        <is>
          <t>[Dehkia 2] Ash Forest</t>
        </is>
      </c>
      <c r="C1340" t="inlineStr">
        <is>
          <t>Crystal of Unyielding Spirit</t>
        </is>
      </c>
      <c r="D1340" t="n">
        <v>0.02405339</v>
      </c>
      <c r="E1340" t="n">
        <v>9677</v>
      </c>
      <c r="F1340" s="3" t="n">
        <v>0.00248562467706934</v>
      </c>
      <c r="G1340" t="n">
        <v>402313</v>
      </c>
      <c r="H1340" s="3" t="n">
        <v>0.002203676614468656</v>
      </c>
      <c r="I1340" s="3" t="n">
        <v>0.002793642868907543</v>
      </c>
      <c r="J1340" t="n">
        <v>281.5</v>
      </c>
      <c r="K1340">
        <f>IF(IFERROR(INDEX(Spots!$K$2:$K$96,MATCH(A1340,Spots!$A$2:$A$96,0)),"")="","",IFERROR(INDEX(Spots!$K$2:$K$96,MATCH(A1340,Spots!$A$2:$A$96,0)),""))</f>
        <v/>
      </c>
      <c r="L1340" s="3">
        <f>IF(OR(K1340="",F1340=""),"",F1340/1000*K1340*100)</f>
        <v/>
      </c>
      <c r="M1340">
        <f>IF(OR(L1340="",L1340=0),"",ROUND(100/L1340,0))</f>
        <v/>
      </c>
      <c r="N1340" t="inlineStr"/>
    </row>
    <row r="1341">
      <c r="A1341" t="n">
        <v>162</v>
      </c>
      <c r="B1341" t="inlineStr">
        <is>
          <t>[Dehkia 2] Ash Forest</t>
        </is>
      </c>
      <c r="C1341" t="inlineStr">
        <is>
          <t>Crystal of Dogged Patience</t>
        </is>
      </c>
      <c r="D1341" t="n">
        <v>0.02282016</v>
      </c>
      <c r="E1341" t="n">
        <v>9677</v>
      </c>
      <c r="F1341" s="3" t="n">
        <v>0.002358185388033481</v>
      </c>
      <c r="G1341" t="n">
        <v>424055</v>
      </c>
      <c r="H1341" s="3" t="n">
        <v>0.002083781567357107</v>
      </c>
      <c r="I1341" s="3" t="n">
        <v>0.002658672712482242</v>
      </c>
      <c r="J1341" t="n">
        <v>267</v>
      </c>
      <c r="K1341">
        <f>IF(IFERROR(INDEX(Spots!$K$2:$K$96,MATCH(A1341,Spots!$A$2:$A$96,0)),"")="","",IFERROR(INDEX(Spots!$K$2:$K$96,MATCH(A1341,Spots!$A$2:$A$96,0)),""))</f>
        <v/>
      </c>
      <c r="L1341" s="3">
        <f>IF(OR(K1341="",F1341=""),"",F1341/1000*K1341*100)</f>
        <v/>
      </c>
      <c r="M1341">
        <f>IF(OR(L1341="",L1341=0),"",ROUND(100/L1341,0))</f>
        <v/>
      </c>
      <c r="N1341" t="inlineStr"/>
    </row>
    <row r="1342">
      <c r="A1342" t="n">
        <v>162</v>
      </c>
      <c r="B1342" t="inlineStr">
        <is>
          <t>[Dehkia 2] Ash Forest</t>
        </is>
      </c>
      <c r="C1342" t="inlineStr">
        <is>
          <t>Quturan's Left Lung</t>
        </is>
      </c>
      <c r="D1342" t="n">
        <v>0.00412608</v>
      </c>
      <c r="E1342" t="n">
        <v>9677</v>
      </c>
      <c r="F1342" s="3" t="n">
        <v>0.0004263800764699804</v>
      </c>
      <c r="G1342" t="n">
        <v>2345325</v>
      </c>
      <c r="H1342" s="3" t="n">
        <v>0.0003146519999298277</v>
      </c>
      <c r="I1342" s="3" t="n">
        <v>0.0005648723712250519</v>
      </c>
      <c r="J1342" t="n">
        <v>48.3</v>
      </c>
      <c r="K1342">
        <f>IF(IFERROR(INDEX(Spots!$K$2:$K$96,MATCH(A1342,Spots!$A$2:$A$96,0)),"")="","",IFERROR(INDEX(Spots!$K$2:$K$96,MATCH(A1342,Spots!$A$2:$A$96,0)),""))</f>
        <v/>
      </c>
      <c r="L1342" s="3">
        <f>IF(OR(K1342="",F1342=""),"",F1342/1000*K1342*100)</f>
        <v/>
      </c>
      <c r="M1342">
        <f>IF(OR(L1342="",L1342=0),"",ROUND(100/L1342,0))</f>
        <v/>
      </c>
      <c r="N1342" t="inlineStr"/>
    </row>
    <row r="1343">
      <c r="A1343" t="n">
        <v>162</v>
      </c>
      <c r="B1343" t="inlineStr">
        <is>
          <t>[Dehkia 2] Ash Forest</t>
        </is>
      </c>
      <c r="C1343" t="inlineStr">
        <is>
          <t>Dehkia's Artifact - All Damage Reduction</t>
        </is>
      </c>
      <c r="D1343" t="n">
        <v>0.0013504</v>
      </c>
      <c r="E1343" t="n">
        <v>9677</v>
      </c>
      <c r="F1343" s="3" t="n">
        <v>0.0001395473803864834</v>
      </c>
      <c r="G1343" t="n">
        <v>7166025</v>
      </c>
      <c r="H1343" s="3" t="n">
        <v>7.939190345424738e-05</v>
      </c>
      <c r="I1343" s="3" t="n">
        <v>0.0002273038114922588</v>
      </c>
      <c r="J1343" t="n">
        <v>15.8</v>
      </c>
      <c r="K1343">
        <f>IF(IFERROR(INDEX(Spots!$K$2:$K$96,MATCH(A1343,Spots!$A$2:$A$96,0)),"")="","",IFERROR(INDEX(Spots!$K$2:$K$96,MATCH(A1343,Spots!$A$2:$A$96,0)),""))</f>
        <v/>
      </c>
      <c r="L1343" s="3">
        <f>IF(OR(K1343="",F1343=""),"",F1343/1000*K1343*100)</f>
        <v/>
      </c>
      <c r="M1343">
        <f>IF(OR(L1343="",L1343=0),"",ROUND(100/L1343,0))</f>
        <v/>
      </c>
      <c r="N1343" t="inlineStr">
        <is>
          <t>low sample</t>
        </is>
      </c>
    </row>
    <row r="1344">
      <c r="A1344" t="n">
        <v>162</v>
      </c>
      <c r="B1344" t="inlineStr">
        <is>
          <t>[Dehkia 2] Ash Forest</t>
        </is>
      </c>
      <c r="C1344" t="inlineStr">
        <is>
          <t>Dehkia's Artifact - All Evasion</t>
        </is>
      </c>
      <c r="D1344" t="n">
        <v>0.00098631</v>
      </c>
      <c r="E1344" t="n">
        <v>9677</v>
      </c>
      <c r="F1344" s="3" t="n">
        <v>0.000101923116668389</v>
      </c>
      <c r="G1344" t="n">
        <v>9811317</v>
      </c>
      <c r="H1344" s="3" t="n">
        <v>5.180577036997827e-05</v>
      </c>
      <c r="I1344" s="3" t="n">
        <v>0.0001799573867776587</v>
      </c>
      <c r="J1344" t="n">
        <v>11.5</v>
      </c>
      <c r="K1344">
        <f>IF(IFERROR(INDEX(Spots!$K$2:$K$96,MATCH(A1344,Spots!$A$2:$A$96,0)),"")="","",IFERROR(INDEX(Spots!$K$2:$K$96,MATCH(A1344,Spots!$A$2:$A$96,0)),""))</f>
        <v/>
      </c>
      <c r="L1344" s="3">
        <f>IF(OR(K1344="",F1344=""),"",F1344/1000*K1344*100)</f>
        <v/>
      </c>
      <c r="M1344">
        <f>IF(OR(L1344="",L1344=0),"",ROUND(100/L1344,0))</f>
        <v/>
      </c>
      <c r="N1344" t="inlineStr">
        <is>
          <t>low sample</t>
        </is>
      </c>
    </row>
    <row r="1345">
      <c r="A1345" t="n">
        <v>162</v>
      </c>
      <c r="B1345" t="inlineStr">
        <is>
          <t>[Dehkia 2] Ash Forest</t>
        </is>
      </c>
      <c r="C1345" t="inlineStr">
        <is>
          <t>Al Yurad's Ring Piece</t>
        </is>
      </c>
      <c r="D1345" t="n">
        <v>0.00089052</v>
      </c>
      <c r="E1345" t="n">
        <v>9677</v>
      </c>
      <c r="F1345" s="3" t="n">
        <v>9.202438772346802e-05</v>
      </c>
      <c r="G1345" t="n">
        <v>10866685</v>
      </c>
      <c r="H1345" s="3" t="n">
        <v>4.484720637109785e-05</v>
      </c>
      <c r="I1345" s="3" t="n">
        <v>0.0001672299854644055</v>
      </c>
      <c r="J1345" t="n">
        <v>10.4</v>
      </c>
      <c r="K1345">
        <f>IF(IFERROR(INDEX(Spots!$K$2:$K$96,MATCH(A1345,Spots!$A$2:$A$96,0)),"")="","",IFERROR(INDEX(Spots!$K$2:$K$96,MATCH(A1345,Spots!$A$2:$A$96,0)),""))</f>
        <v/>
      </c>
      <c r="L1345" s="3">
        <f>IF(OR(K1345="",F1345=""),"",F1345/1000*K1345*100)</f>
        <v/>
      </c>
      <c r="M1345">
        <f>IF(OR(L1345="",L1345=0),"",ROUND(100/L1345,0))</f>
        <v/>
      </c>
      <c r="N1345" t="inlineStr">
        <is>
          <t>low sample</t>
        </is>
      </c>
    </row>
    <row r="1346">
      <c r="A1346" t="n">
        <v>161</v>
      </c>
      <c r="B1346" t="inlineStr">
        <is>
          <t>[Dehkia 2] Olun's Valley</t>
        </is>
      </c>
      <c r="C1346" t="inlineStr">
        <is>
          <t>Black Stone</t>
        </is>
      </c>
      <c r="D1346" t="n">
        <v>54.496</v>
      </c>
      <c r="E1346" t="n">
        <v>4009.4</v>
      </c>
      <c r="F1346" s="3" t="n">
        <v>13.59205866214396</v>
      </c>
      <c r="G1346" t="n">
        <v>74</v>
      </c>
      <c r="H1346" s="3" t="n">
        <v>13.55124669518277</v>
      </c>
      <c r="I1346" s="3" t="n">
        <v>13.63296314267756</v>
      </c>
      <c r="J1346" t="n">
        <v>425464.8</v>
      </c>
      <c r="K1346">
        <f>IF(IFERROR(INDEX(Spots!$K$2:$K$96,MATCH(A1346,Spots!$A$2:$A$96,0)),"")="","",IFERROR(INDEX(Spots!$K$2:$K$96,MATCH(A1346,Spots!$A$2:$A$96,0)),""))</f>
        <v/>
      </c>
      <c r="L1346" s="3">
        <f>IF(OR(K1346="",F1346=""),"",F1346/1000*K1346*100)</f>
        <v/>
      </c>
      <c r="M1346">
        <f>IF(OR(L1346="",L1346=0),"",ROUND(100/L1346,0))</f>
        <v/>
      </c>
      <c r="N1346" t="inlineStr"/>
    </row>
    <row r="1347">
      <c r="A1347" t="n">
        <v>161</v>
      </c>
      <c r="B1347" t="inlineStr">
        <is>
          <t>[Dehkia 2] Olun's Valley</t>
        </is>
      </c>
      <c r="C1347" t="inlineStr">
        <is>
          <t>Ancient Spirit Dust</t>
        </is>
      </c>
      <c r="D1347" t="n">
        <v>28.079</v>
      </c>
      <c r="E1347" t="n">
        <v>4009.4</v>
      </c>
      <c r="F1347" s="3" t="n">
        <v>7.003292263181524</v>
      </c>
      <c r="G1347" t="n">
        <v>143</v>
      </c>
      <c r="H1347" s="3" t="n">
        <v>6.974005636747219</v>
      </c>
      <c r="I1347" s="3" t="n">
        <v>7.032671422042448</v>
      </c>
      <c r="J1347" t="n">
        <v>219220.2</v>
      </c>
      <c r="K1347">
        <f>IF(IFERROR(INDEX(Spots!$K$2:$K$96,MATCH(A1347,Spots!$A$2:$A$96,0)),"")="","",IFERROR(INDEX(Spots!$K$2:$K$96,MATCH(A1347,Spots!$A$2:$A$96,0)),""))</f>
        <v/>
      </c>
      <c r="L1347" s="3">
        <f>IF(OR(K1347="",F1347=""),"",F1347/1000*K1347*100)</f>
        <v/>
      </c>
      <c r="M1347">
        <f>IF(OR(L1347="",L1347=0),"",ROUND(100/L1347,0))</f>
        <v/>
      </c>
      <c r="N1347" t="inlineStr"/>
    </row>
    <row r="1348">
      <c r="A1348" t="n">
        <v>161</v>
      </c>
      <c r="B1348" t="inlineStr">
        <is>
          <t>[Dehkia 2] Olun's Valley</t>
        </is>
      </c>
      <c r="C1348" t="inlineStr">
        <is>
          <t>Caphras Stone</t>
        </is>
      </c>
      <c r="D1348" t="n">
        <v>16.083</v>
      </c>
      <c r="E1348" t="n">
        <v>4009.4</v>
      </c>
      <c r="F1348" s="3" t="n">
        <v>4.011323390033422</v>
      </c>
      <c r="G1348" t="n">
        <v>249</v>
      </c>
      <c r="H1348" s="3" t="n">
        <v>3.989166044235486</v>
      </c>
      <c r="I1348" s="3" t="n">
        <v>4.033573289720362</v>
      </c>
      <c r="J1348" t="n">
        <v>125564.3</v>
      </c>
      <c r="K1348">
        <f>IF(IFERROR(INDEX(Spots!$K$2:$K$96,MATCH(A1348,Spots!$A$2:$A$96,0)),"")="","",IFERROR(INDEX(Spots!$K$2:$K$96,MATCH(A1348,Spots!$A$2:$A$96,0)),""))</f>
        <v/>
      </c>
      <c r="L1348" s="3">
        <f>IF(OR(K1348="",F1348=""),"",F1348/1000*K1348*100)</f>
        <v/>
      </c>
      <c r="M1348">
        <f>IF(OR(L1348="",L1348=0),"",ROUND(100/L1348,0))</f>
        <v/>
      </c>
      <c r="N1348" t="inlineStr"/>
    </row>
    <row r="1349">
      <c r="A1349" t="n">
        <v>161</v>
      </c>
      <c r="B1349" t="inlineStr">
        <is>
          <t>[Dehkia 2] Olun's Valley</t>
        </is>
      </c>
      <c r="C1349" t="inlineStr">
        <is>
          <t>Quturan's Ashen Leaf</t>
        </is>
      </c>
      <c r="D1349" t="n">
        <v>1.147952</v>
      </c>
      <c r="E1349" t="n">
        <v>4009.4</v>
      </c>
      <c r="F1349" s="3" t="n">
        <v>0.2863151593754676</v>
      </c>
      <c r="G1349" t="n">
        <v>3493</v>
      </c>
      <c r="H1349" s="3" t="n">
        <v>0.2804177328920207</v>
      </c>
      <c r="I1349" s="3" t="n">
        <v>0.2923053813950356</v>
      </c>
      <c r="J1349" t="n">
        <v>8962.4</v>
      </c>
      <c r="K1349">
        <f>IF(IFERROR(INDEX(Spots!$K$2:$K$96,MATCH(A1349,Spots!$A$2:$A$96,0)),"")="","",IFERROR(INDEX(Spots!$K$2:$K$96,MATCH(A1349,Spots!$A$2:$A$96,0)),""))</f>
        <v/>
      </c>
      <c r="L1349" s="3">
        <f>IF(OR(K1349="",F1349=""),"",F1349/1000*K1349*100)</f>
        <v/>
      </c>
      <c r="M1349">
        <f>IF(OR(L1349="",L1349=0),"",ROUND(100/L1349,0))</f>
        <v/>
      </c>
      <c r="N1349" t="inlineStr"/>
    </row>
    <row r="1350">
      <c r="A1350" t="n">
        <v>161</v>
      </c>
      <c r="B1350" t="inlineStr">
        <is>
          <t>[Dehkia 2] Olun's Valley</t>
        </is>
      </c>
      <c r="C1350" t="inlineStr">
        <is>
          <t>Imperfect Lightstone of Earth</t>
        </is>
      </c>
      <c r="D1350" t="n">
        <v>0.87771864</v>
      </c>
      <c r="E1350" t="n">
        <v>4009.4</v>
      </c>
      <c r="F1350" s="3" t="n">
        <v>0.2189152092582431</v>
      </c>
      <c r="G1350" t="n">
        <v>4568</v>
      </c>
      <c r="H1350" s="3" t="n">
        <v>0.2137622468196631</v>
      </c>
      <c r="I1350" s="3" t="n">
        <v>0.2241610144963712</v>
      </c>
      <c r="J1350" t="n">
        <v>6852.6</v>
      </c>
      <c r="K1350">
        <f>IF(IFERROR(INDEX(Spots!$K$2:$K$96,MATCH(A1350,Spots!$A$2:$A$96,0)),"")="","",IFERROR(INDEX(Spots!$K$2:$K$96,MATCH(A1350,Spots!$A$2:$A$96,0)),""))</f>
        <v/>
      </c>
      <c r="L1350" s="3">
        <f>IF(OR(K1350="",F1350=""),"",F1350/1000*K1350*100)</f>
        <v/>
      </c>
      <c r="M1350">
        <f>IF(OR(L1350="",L1350=0),"",ROUND(100/L1350,0))</f>
        <v/>
      </c>
      <c r="N1350" t="inlineStr"/>
    </row>
    <row r="1351">
      <c r="A1351" t="n">
        <v>161</v>
      </c>
      <c r="B1351" t="inlineStr">
        <is>
          <t>[Dehkia 2] Olun's Valley</t>
        </is>
      </c>
      <c r="C1351" t="inlineStr">
        <is>
          <t>Dehkia's Fragment</t>
        </is>
      </c>
      <c r="D1351" t="n">
        <v>0.67068178</v>
      </c>
      <c r="E1351" t="n">
        <v>4009.4</v>
      </c>
      <c r="F1351" s="3" t="n">
        <v>0.167277343243378</v>
      </c>
      <c r="G1351" t="n">
        <v>5978</v>
      </c>
      <c r="H1351" s="3" t="n">
        <v>0.1627767614102449</v>
      </c>
      <c r="I1351" s="3" t="n">
        <v>0.1718708220226034</v>
      </c>
      <c r="J1351" t="n">
        <v>5236.2</v>
      </c>
      <c r="K1351">
        <f>IF(IFERROR(INDEX(Spots!$K$2:$K$96,MATCH(A1351,Spots!$A$2:$A$96,0)),"")="","",IFERROR(INDEX(Spots!$K$2:$K$96,MATCH(A1351,Spots!$A$2:$A$96,0)),""))</f>
        <v/>
      </c>
      <c r="L1351" s="3">
        <f>IF(OR(K1351="",F1351=""),"",F1351/1000*K1351*100)</f>
        <v/>
      </c>
      <c r="M1351">
        <f>IF(OR(L1351="",L1351=0),"",ROUND(100/L1351,0))</f>
        <v/>
      </c>
      <c r="N1351" t="inlineStr"/>
    </row>
    <row r="1352">
      <c r="A1352" t="n">
        <v>161</v>
      </c>
      <c r="B1352" t="inlineStr">
        <is>
          <t>[Dehkia 2] Olun's Valley</t>
        </is>
      </c>
      <c r="C1352" t="inlineStr">
        <is>
          <t>Void Tainted Whispers</t>
        </is>
      </c>
      <c r="D1352" t="n">
        <v>0.5446666100000001</v>
      </c>
      <c r="E1352" t="n">
        <v>4009.4</v>
      </c>
      <c r="F1352" s="3" t="n">
        <v>0.1358474110839527</v>
      </c>
      <c r="G1352" t="n">
        <v>7361</v>
      </c>
      <c r="H1352" s="3" t="n">
        <v>0.1317946227930528</v>
      </c>
      <c r="I1352" s="3" t="n">
        <v>0.1399931434667482</v>
      </c>
      <c r="J1352" t="n">
        <v>4252.4</v>
      </c>
      <c r="K1352">
        <f>IF(IFERROR(INDEX(Spots!$K$2:$K$96,MATCH(A1352,Spots!$A$2:$A$96,0)),"")="","",IFERROR(INDEX(Spots!$K$2:$K$96,MATCH(A1352,Spots!$A$2:$A$96,0)),""))</f>
        <v/>
      </c>
      <c r="L1352" s="3">
        <f>IF(OR(K1352="",F1352=""),"",F1352/1000*K1352*100)</f>
        <v/>
      </c>
      <c r="M1352">
        <f>IF(OR(L1352="",L1352=0),"",ROUND(100/L1352,0))</f>
        <v/>
      </c>
      <c r="N1352" t="inlineStr"/>
    </row>
    <row r="1353">
      <c r="A1353" t="n">
        <v>161</v>
      </c>
      <c r="B1353" t="inlineStr">
        <is>
          <t>[Dehkia 2] Olun's Valley</t>
        </is>
      </c>
      <c r="C1353" t="inlineStr">
        <is>
          <t>Imperfect Lightstone of Fire</t>
        </is>
      </c>
      <c r="D1353" t="n">
        <v>0.2211959</v>
      </c>
      <c r="E1353" t="n">
        <v>4009.4</v>
      </c>
      <c r="F1353" s="3" t="n">
        <v>0.05516932708135881</v>
      </c>
      <c r="G1353" t="n">
        <v>18126</v>
      </c>
      <c r="H1353" s="3" t="n">
        <v>0.05259765471745557</v>
      </c>
      <c r="I1353" s="3" t="n">
        <v>0.05783421444167945</v>
      </c>
      <c r="J1353" t="n">
        <v>1726.9</v>
      </c>
      <c r="K1353">
        <f>IF(IFERROR(INDEX(Spots!$K$2:$K$96,MATCH(A1353,Spots!$A$2:$A$96,0)),"")="","",IFERROR(INDEX(Spots!$K$2:$K$96,MATCH(A1353,Spots!$A$2:$A$96,0)),""))</f>
        <v/>
      </c>
      <c r="L1353" s="3">
        <f>IF(OR(K1353="",F1353=""),"",F1353/1000*K1353*100)</f>
        <v/>
      </c>
      <c r="M1353">
        <f>IF(OR(L1353="",L1353=0),"",ROUND(100/L1353,0))</f>
        <v/>
      </c>
      <c r="N1353" t="inlineStr"/>
    </row>
    <row r="1354">
      <c r="A1354" t="n">
        <v>161</v>
      </c>
      <c r="B1354" t="inlineStr">
        <is>
          <t>[Dehkia 2] Olun's Valley</t>
        </is>
      </c>
      <c r="C1354" t="inlineStr">
        <is>
          <t>Deboreka Earring</t>
        </is>
      </c>
      <c r="D1354" t="n">
        <v>0.20365764</v>
      </c>
      <c r="E1354" t="n">
        <v>4009.4</v>
      </c>
      <c r="F1354" s="3" t="n">
        <v>0.05079504165211753</v>
      </c>
      <c r="G1354" t="n">
        <v>19687</v>
      </c>
      <c r="H1354" s="3" t="n">
        <v>0.0483286604425396</v>
      </c>
      <c r="I1354" s="3" t="n">
        <v>0.05335466928221801</v>
      </c>
      <c r="J1354" t="n">
        <v>1590</v>
      </c>
      <c r="K1354">
        <f>IF(IFERROR(INDEX(Spots!$K$2:$K$96,MATCH(A1354,Spots!$A$2:$A$96,0)),"")="","",IFERROR(INDEX(Spots!$K$2:$K$96,MATCH(A1354,Spots!$A$2:$A$96,0)),""))</f>
        <v/>
      </c>
      <c r="L1354" s="3">
        <f>IF(OR(K1354="",F1354=""),"",F1354/1000*K1354*100)</f>
        <v/>
      </c>
      <c r="M1354">
        <f>IF(OR(L1354="",L1354=0),"",ROUND(100/L1354,0))</f>
        <v/>
      </c>
      <c r="N1354" t="inlineStr"/>
    </row>
    <row r="1355">
      <c r="A1355" t="n">
        <v>161</v>
      </c>
      <c r="B1355" t="inlineStr">
        <is>
          <t>[Dehkia 2] Olun's Valley</t>
        </is>
      </c>
      <c r="C1355" t="inlineStr">
        <is>
          <t>Imperfect Lightstone of Wind</t>
        </is>
      </c>
      <c r="D1355" t="n">
        <v>0.13604176</v>
      </c>
      <c r="E1355" t="n">
        <v>4009.4</v>
      </c>
      <c r="F1355" s="3" t="n">
        <v>0.03393070284830648</v>
      </c>
      <c r="G1355" t="n">
        <v>29472</v>
      </c>
      <c r="H1355" s="3" t="n">
        <v>0.03192048740321053</v>
      </c>
      <c r="I1355" s="3" t="n">
        <v>0.03603433804550289</v>
      </c>
      <c r="J1355" t="n">
        <v>1062.1</v>
      </c>
      <c r="K1355">
        <f>IF(IFERROR(INDEX(Spots!$K$2:$K$96,MATCH(A1355,Spots!$A$2:$A$96,0)),"")="","",IFERROR(INDEX(Spots!$K$2:$K$96,MATCH(A1355,Spots!$A$2:$A$96,0)),""))</f>
        <v/>
      </c>
      <c r="L1355" s="3">
        <f>IF(OR(K1355="",F1355=""),"",F1355/1000*K1355*100)</f>
        <v/>
      </c>
      <c r="M1355">
        <f>IF(OR(L1355="",L1355=0),"",ROUND(100/L1355,0))</f>
        <v/>
      </c>
      <c r="N1355" t="inlineStr"/>
    </row>
    <row r="1356">
      <c r="A1356" t="n">
        <v>161</v>
      </c>
      <c r="B1356" t="inlineStr">
        <is>
          <t>[Dehkia 2] Olun's Valley</t>
        </is>
      </c>
      <c r="C1356" t="inlineStr">
        <is>
          <t>Crystal of Precise Destruction</t>
        </is>
      </c>
      <c r="D1356" t="n">
        <v>0.13299115</v>
      </c>
      <c r="E1356" t="n">
        <v>4009.4</v>
      </c>
      <c r="F1356" s="3" t="n">
        <v>0.03316983837980745</v>
      </c>
      <c r="G1356" t="n">
        <v>30148</v>
      </c>
      <c r="H1356" s="3" t="n">
        <v>0.03118263389908206</v>
      </c>
      <c r="I1356" s="3" t="n">
        <v>0.03525047341758077</v>
      </c>
      <c r="J1356" t="n">
        <v>1038.3</v>
      </c>
      <c r="K1356">
        <f>IF(IFERROR(INDEX(Spots!$K$2:$K$96,MATCH(A1356,Spots!$A$2:$A$96,0)),"")="","",IFERROR(INDEX(Spots!$K$2:$K$96,MATCH(A1356,Spots!$A$2:$A$96,0)),""))</f>
        <v/>
      </c>
      <c r="L1356" s="3">
        <f>IF(OR(K1356="",F1356=""),"",F1356/1000*K1356*100)</f>
        <v/>
      </c>
      <c r="M1356">
        <f>IF(OR(L1356="",L1356=0),"",ROUND(100/L1356,0))</f>
        <v/>
      </c>
      <c r="N1356" t="inlineStr"/>
    </row>
    <row r="1357">
      <c r="A1357" t="n">
        <v>161</v>
      </c>
      <c r="B1357" t="inlineStr">
        <is>
          <t>[Dehkia 2] Olun's Valley</t>
        </is>
      </c>
      <c r="C1357" t="inlineStr">
        <is>
          <t>Olun's Valley Paint</t>
        </is>
      </c>
      <c r="D1357" t="n">
        <v>0.06462384</v>
      </c>
      <c r="E1357" t="n">
        <v>4009.4</v>
      </c>
      <c r="F1357" s="3" t="n">
        <v>0.01611808250611064</v>
      </c>
      <c r="G1357" t="n">
        <v>62042</v>
      </c>
      <c r="H1357" s="3" t="n">
        <v>0.01474211061645592</v>
      </c>
      <c r="I1357" s="3" t="n">
        <v>0.01758790000644522</v>
      </c>
      <c r="J1357" t="n">
        <v>504.5</v>
      </c>
      <c r="K1357">
        <f>IF(IFERROR(INDEX(Spots!$K$2:$K$96,MATCH(A1357,Spots!$A$2:$A$96,0)),"")="","",IFERROR(INDEX(Spots!$K$2:$K$96,MATCH(A1357,Spots!$A$2:$A$96,0)),""))</f>
        <v/>
      </c>
      <c r="L1357" s="3">
        <f>IF(OR(K1357="",F1357=""),"",F1357/1000*K1357*100)</f>
        <v/>
      </c>
      <c r="M1357">
        <f>IF(OR(L1357="",L1357=0),"",ROUND(100/L1357,0))</f>
        <v/>
      </c>
      <c r="N1357" t="inlineStr"/>
    </row>
    <row r="1358">
      <c r="A1358" t="n">
        <v>161</v>
      </c>
      <c r="B1358" t="inlineStr">
        <is>
          <t>[Dehkia 2] Olun's Valley</t>
        </is>
      </c>
      <c r="C1358" t="inlineStr">
        <is>
          <t>Crystal of Stalwart Fortitude</t>
        </is>
      </c>
      <c r="D1358" t="n">
        <v>0.03163745</v>
      </c>
      <c r="E1358" t="n">
        <v>4009.4</v>
      </c>
      <c r="F1358" s="3" t="n">
        <v>0.007890819075173342</v>
      </c>
      <c r="G1358" t="n">
        <v>126730</v>
      </c>
      <c r="H1358" s="3" t="n">
        <v>0.006937309005112865</v>
      </c>
      <c r="I1358" s="3" t="n">
        <v>0.008938758232391901</v>
      </c>
      <c r="J1358" t="n">
        <v>247</v>
      </c>
      <c r="K1358">
        <f>IF(IFERROR(INDEX(Spots!$K$2:$K$96,MATCH(A1358,Spots!$A$2:$A$96,0)),"")="","",IFERROR(INDEX(Spots!$K$2:$K$96,MATCH(A1358,Spots!$A$2:$A$96,0)),""))</f>
        <v/>
      </c>
      <c r="L1358" s="3">
        <f>IF(OR(K1358="",F1358=""),"",F1358/1000*K1358*100)</f>
        <v/>
      </c>
      <c r="M1358">
        <f>IF(OR(L1358="",L1358=0),"",ROUND(100/L1358,0))</f>
        <v/>
      </c>
      <c r="N1358" t="inlineStr"/>
    </row>
    <row r="1359">
      <c r="A1359" t="n">
        <v>161</v>
      </c>
      <c r="B1359" t="inlineStr">
        <is>
          <t>[Dehkia 2] Olun's Valley</t>
        </is>
      </c>
      <c r="C1359" t="inlineStr">
        <is>
          <t>Crystal of Dogged Patience</t>
        </is>
      </c>
      <c r="D1359" t="n">
        <v>0.03097097</v>
      </c>
      <c r="E1359" t="n">
        <v>4009.4</v>
      </c>
      <c r="F1359" s="3" t="n">
        <v>0.007724589714171696</v>
      </c>
      <c r="G1359" t="n">
        <v>129457</v>
      </c>
      <c r="H1359" s="3" t="n">
        <v>0.006781503265908829</v>
      </c>
      <c r="I1359" s="3" t="n">
        <v>0.008762125941351551</v>
      </c>
      <c r="J1359" t="n">
        <v>241.8</v>
      </c>
      <c r="K1359">
        <f>IF(IFERROR(INDEX(Spots!$K$2:$K$96,MATCH(A1359,Spots!$A$2:$A$96,0)),"")="","",IFERROR(INDEX(Spots!$K$2:$K$96,MATCH(A1359,Spots!$A$2:$A$96,0)),""))</f>
        <v/>
      </c>
      <c r="L1359" s="3">
        <f>IF(OR(K1359="",F1359=""),"",F1359/1000*K1359*100)</f>
        <v/>
      </c>
      <c r="M1359">
        <f>IF(OR(L1359="",L1359=0),"",ROUND(100/L1359,0))</f>
        <v/>
      </c>
      <c r="N1359" t="inlineStr"/>
    </row>
    <row r="1360">
      <c r="A1360" t="n">
        <v>161</v>
      </c>
      <c r="B1360" t="inlineStr">
        <is>
          <t>[Dehkia 2] Olun's Valley</t>
        </is>
      </c>
      <c r="C1360" t="inlineStr">
        <is>
          <t>Crystal of Unyielding Spirit</t>
        </is>
      </c>
      <c r="D1360" t="n">
        <v>0.02855498</v>
      </c>
      <c r="E1360" t="n">
        <v>4009.4</v>
      </c>
      <c r="F1360" s="3" t="n">
        <v>0.007122008280540729</v>
      </c>
      <c r="G1360" t="n">
        <v>140410</v>
      </c>
      <c r="H1360" s="3" t="n">
        <v>0.006217681465010119</v>
      </c>
      <c r="I1360" s="3" t="n">
        <v>0.008120865792850309</v>
      </c>
      <c r="J1360" t="n">
        <v>222.9</v>
      </c>
      <c r="K1360">
        <f>IF(IFERROR(INDEX(Spots!$K$2:$K$96,MATCH(A1360,Spots!$A$2:$A$96,0)),"")="","",IFERROR(INDEX(Spots!$K$2:$K$96,MATCH(A1360,Spots!$A$2:$A$96,0)),""))</f>
        <v/>
      </c>
      <c r="L1360" s="3">
        <f>IF(OR(K1360="",F1360=""),"",F1360/1000*K1360*100)</f>
        <v/>
      </c>
      <c r="M1360">
        <f>IF(OR(L1360="",L1360=0),"",ROUND(100/L1360,0))</f>
        <v/>
      </c>
      <c r="N1360" t="inlineStr"/>
    </row>
    <row r="1361">
      <c r="A1361" t="n">
        <v>161</v>
      </c>
      <c r="B1361" t="inlineStr">
        <is>
          <t>[Dehkia 2] Olun's Valley</t>
        </is>
      </c>
      <c r="C1361" t="inlineStr">
        <is>
          <t>Forgotten Limbo Box</t>
        </is>
      </c>
      <c r="D1361" t="n">
        <v>0.02137867</v>
      </c>
      <c r="E1361" t="n">
        <v>4009.4</v>
      </c>
      <c r="F1361" s="3" t="n">
        <v>0.005332136978101461</v>
      </c>
      <c r="G1361" t="n">
        <v>187542</v>
      </c>
      <c r="H1361" s="3" t="n">
        <v>0.004553821269866414</v>
      </c>
      <c r="I1361" s="3" t="n">
        <v>0.006205298943648336</v>
      </c>
      <c r="J1361" t="n">
        <v>166.9</v>
      </c>
      <c r="K1361">
        <f>IF(IFERROR(INDEX(Spots!$K$2:$K$96,MATCH(A1361,Spots!$A$2:$A$96,0)),"")="","",IFERROR(INDEX(Spots!$K$2:$K$96,MATCH(A1361,Spots!$A$2:$A$96,0)),""))</f>
        <v/>
      </c>
      <c r="L1361" s="3">
        <f>IF(OR(K1361="",F1361=""),"",F1361/1000*K1361*100)</f>
        <v/>
      </c>
      <c r="M1361">
        <f>IF(OR(L1361="",L1361=0),"",ROUND(100/L1361,0))</f>
        <v/>
      </c>
      <c r="N1361" t="inlineStr"/>
    </row>
    <row r="1362">
      <c r="A1362" t="n">
        <v>161</v>
      </c>
      <c r="B1362" t="inlineStr">
        <is>
          <t>[Dehkia 2] Olun's Valley</t>
        </is>
      </c>
      <c r="C1362" t="inlineStr">
        <is>
          <t>Quturan's Right Lung</t>
        </is>
      </c>
      <c r="D1362" t="n">
        <v>0.00694972</v>
      </c>
      <c r="E1362" t="n">
        <v>4009.4</v>
      </c>
      <c r="F1362" s="3" t="n">
        <v>0.001733356611961889</v>
      </c>
      <c r="G1362" t="n">
        <v>576915</v>
      </c>
      <c r="H1362" s="3" t="n">
        <v>0.001303008972232957</v>
      </c>
      <c r="I1362" s="3" t="n">
        <v>0.002260283972523711</v>
      </c>
      <c r="J1362" t="n">
        <v>54.3</v>
      </c>
      <c r="K1362">
        <f>IF(IFERROR(INDEX(Spots!$K$2:$K$96,MATCH(A1362,Spots!$A$2:$A$96,0)),"")="","",IFERROR(INDEX(Spots!$K$2:$K$96,MATCH(A1362,Spots!$A$2:$A$96,0)),""))</f>
        <v/>
      </c>
      <c r="L1362" s="3">
        <f>IF(OR(K1362="",F1362=""),"",F1362/1000*K1362*100)</f>
        <v/>
      </c>
      <c r="M1362">
        <f>IF(OR(L1362="",L1362=0),"",ROUND(100/L1362,0))</f>
        <v/>
      </c>
      <c r="N1362" t="inlineStr"/>
    </row>
    <row r="1363">
      <c r="A1363" t="n">
        <v>161</v>
      </c>
      <c r="B1363" t="inlineStr">
        <is>
          <t>[Dehkia 2] Olun's Valley</t>
        </is>
      </c>
      <c r="C1363" t="inlineStr">
        <is>
          <t>Al Yurad's Ring Piece</t>
        </is>
      </c>
      <c r="D1363" t="n">
        <v>0.00142</v>
      </c>
      <c r="E1363" t="n">
        <v>4009.4</v>
      </c>
      <c r="F1363" s="3" t="n">
        <v>0.0003541677058911558</v>
      </c>
      <c r="G1363" t="n">
        <v>2823521</v>
      </c>
      <c r="H1363" s="3" t="n">
        <v>0.0001771227273770265</v>
      </c>
      <c r="I1363" s="3" t="n">
        <v>0.0006323569065170304</v>
      </c>
      <c r="J1363" t="n">
        <v>11.1</v>
      </c>
      <c r="K1363">
        <f>IF(IFERROR(INDEX(Spots!$K$2:$K$96,MATCH(A1363,Spots!$A$2:$A$96,0)),"")="","",IFERROR(INDEX(Spots!$K$2:$K$96,MATCH(A1363,Spots!$A$2:$A$96,0)),""))</f>
        <v/>
      </c>
      <c r="L1363" s="3">
        <f>IF(OR(K1363="",F1363=""),"",F1363/1000*K1363*100)</f>
        <v/>
      </c>
      <c r="M1363">
        <f>IF(OR(L1363="",L1363=0),"",ROUND(100/L1363,0))</f>
        <v/>
      </c>
      <c r="N1363" t="inlineStr">
        <is>
          <t>low sample</t>
        </is>
      </c>
    </row>
    <row r="1364">
      <c r="A1364" t="n">
        <v>161</v>
      </c>
      <c r="B1364" t="inlineStr">
        <is>
          <t>[Dehkia 2] Olun's Valley</t>
        </is>
      </c>
      <c r="C1364" t="inlineStr">
        <is>
          <t>Dehkia's Artifact - All Damage Reduction</t>
        </is>
      </c>
      <c r="D1364" t="n">
        <v>0.0009884</v>
      </c>
      <c r="E1364" t="n">
        <v>4009.4</v>
      </c>
      <c r="F1364" s="3" t="n">
        <v>0.0002465206764104354</v>
      </c>
      <c r="G1364" t="n">
        <v>4056455</v>
      </c>
      <c r="H1364" s="3" t="n">
        <v>0.0001041720524125201</v>
      </c>
      <c r="I1364" s="3" t="n">
        <v>0.0004915396242387337</v>
      </c>
      <c r="J1364" t="n">
        <v>7.7</v>
      </c>
      <c r="K1364">
        <f>IF(IFERROR(INDEX(Spots!$K$2:$K$96,MATCH(A1364,Spots!$A$2:$A$96,0)),"")="","",IFERROR(INDEX(Spots!$K$2:$K$96,MATCH(A1364,Spots!$A$2:$A$96,0)),""))</f>
        <v/>
      </c>
      <c r="L1364" s="3">
        <f>IF(OR(K1364="",F1364=""),"",F1364/1000*K1364*100)</f>
        <v/>
      </c>
      <c r="M1364">
        <f>IF(OR(L1364="",L1364=0),"",ROUND(100/L1364,0))</f>
        <v/>
      </c>
      <c r="N1364" t="inlineStr">
        <is>
          <t>low sample</t>
        </is>
      </c>
    </row>
    <row r="1365">
      <c r="A1365" t="n">
        <v>161</v>
      </c>
      <c r="B1365" t="inlineStr">
        <is>
          <t>[Dehkia 2] Olun's Valley</t>
        </is>
      </c>
      <c r="C1365" t="inlineStr">
        <is>
          <t>Dehkia's Artifact - All Evasion</t>
        </is>
      </c>
      <c r="D1365" t="n">
        <v>0.00067877</v>
      </c>
      <c r="E1365" t="n">
        <v>4009.4</v>
      </c>
      <c r="F1365" s="3" t="n">
        <v>0.0001692946575547463</v>
      </c>
      <c r="G1365" t="n">
        <v>5906861</v>
      </c>
      <c r="H1365" s="3" t="n">
        <v>5.688794219993255e-05</v>
      </c>
      <c r="I1365" s="3" t="n">
        <v>0.0003861742509050621</v>
      </c>
      <c r="J1365" t="n">
        <v>5.3</v>
      </c>
      <c r="K1365">
        <f>IF(IFERROR(INDEX(Spots!$K$2:$K$96,MATCH(A1365,Spots!$A$2:$A$96,0)),"")="","",IFERROR(INDEX(Spots!$K$2:$K$96,MATCH(A1365,Spots!$A$2:$A$96,0)),""))</f>
        <v/>
      </c>
      <c r="L1365" s="3">
        <f>IF(OR(K1365="",F1365=""),"",F1365/1000*K1365*100)</f>
        <v/>
      </c>
      <c r="M1365">
        <f>IF(OR(L1365="",L1365=0),"",ROUND(100/L1365,0))</f>
        <v/>
      </c>
      <c r="N1365" t="inlineStr">
        <is>
          <t>low sample</t>
        </is>
      </c>
    </row>
    <row r="1366">
      <c r="A1366" t="n">
        <v>155</v>
      </c>
      <c r="B1366" t="inlineStr">
        <is>
          <t>[Dehkia] Aakman Temple</t>
        </is>
      </c>
      <c r="C1366" t="inlineStr">
        <is>
          <t>Ancient Spirit Dust</t>
        </is>
      </c>
      <c r="D1366" t="n">
        <v>26.629</v>
      </c>
      <c r="E1366" t="n">
        <v>8375</v>
      </c>
      <c r="F1366" s="3" t="n">
        <v>3.179582089552239</v>
      </c>
      <c r="G1366" t="n">
        <v>315</v>
      </c>
      <c r="H1366" s="3" t="n">
        <v>3.149892490473992</v>
      </c>
      <c r="I1366" s="3" t="n">
        <v>3.209481869985475</v>
      </c>
      <c r="J1366" t="n">
        <v>43856.6</v>
      </c>
      <c r="K1366">
        <f>IF(IFERROR(INDEX(Spots!$K$2:$K$96,MATCH(A1366,Spots!$A$2:$A$96,0)),"")="","",IFERROR(INDEX(Spots!$K$2:$K$96,MATCH(A1366,Spots!$A$2:$A$96,0)),""))</f>
        <v/>
      </c>
      <c r="L1366" s="3">
        <f>IF(OR(K1366="",F1366=""),"",F1366/1000*K1366*100)</f>
        <v/>
      </c>
      <c r="M1366">
        <f>IF(OR(L1366="",L1366=0),"",ROUND(100/L1366,0))</f>
        <v/>
      </c>
      <c r="N1366" t="inlineStr"/>
    </row>
    <row r="1367">
      <c r="A1367" t="n">
        <v>155</v>
      </c>
      <c r="B1367" t="inlineStr">
        <is>
          <t>[Dehkia] Aakman Temple</t>
        </is>
      </c>
      <c r="C1367" t="inlineStr">
        <is>
          <t>Black Stone</t>
        </is>
      </c>
      <c r="D1367" t="n">
        <v>21.436</v>
      </c>
      <c r="E1367" t="n">
        <v>8375</v>
      </c>
      <c r="F1367" s="3" t="n">
        <v>2.559522388059702</v>
      </c>
      <c r="G1367" t="n">
        <v>391</v>
      </c>
      <c r="H1367" s="3" t="n">
        <v>2.532891632445547</v>
      </c>
      <c r="I1367" s="3" t="n">
        <v>2.586363363812445</v>
      </c>
      <c r="J1367" t="n">
        <v>35304</v>
      </c>
      <c r="K1367">
        <f>IF(IFERROR(INDEX(Spots!$K$2:$K$96,MATCH(A1367,Spots!$A$2:$A$96,0)),"")="","",IFERROR(INDEX(Spots!$K$2:$K$96,MATCH(A1367,Spots!$A$2:$A$96,0)),""))</f>
        <v/>
      </c>
      <c r="L1367" s="3">
        <f>IF(OR(K1367="",F1367=""),"",F1367/1000*K1367*100)</f>
        <v/>
      </c>
      <c r="M1367">
        <f>IF(OR(L1367="",L1367=0),"",ROUND(100/L1367,0))</f>
        <v/>
      </c>
      <c r="N1367" t="inlineStr"/>
    </row>
    <row r="1368">
      <c r="A1368" t="n">
        <v>155</v>
      </c>
      <c r="B1368" t="inlineStr">
        <is>
          <t>[Dehkia] Aakman Temple</t>
        </is>
      </c>
      <c r="C1368" t="inlineStr">
        <is>
          <t>Caphras Stone</t>
        </is>
      </c>
      <c r="D1368" t="n">
        <v>12.726</v>
      </c>
      <c r="E1368" t="n">
        <v>8375</v>
      </c>
      <c r="F1368" s="3" t="n">
        <v>1.519522388059702</v>
      </c>
      <c r="G1368" t="n">
        <v>658</v>
      </c>
      <c r="H1368" s="3" t="n">
        <v>1.499019114334227</v>
      </c>
      <c r="I1368" s="3" t="n">
        <v>1.540235994255368</v>
      </c>
      <c r="J1368" t="n">
        <v>20959.1</v>
      </c>
      <c r="K1368">
        <f>IF(IFERROR(INDEX(Spots!$K$2:$K$96,MATCH(A1368,Spots!$A$2:$A$96,0)),"")="","",IFERROR(INDEX(Spots!$K$2:$K$96,MATCH(A1368,Spots!$A$2:$A$96,0)),""))</f>
        <v/>
      </c>
      <c r="L1368" s="3">
        <f>IF(OR(K1368="",F1368=""),"",F1368/1000*K1368*100)</f>
        <v/>
      </c>
      <c r="M1368">
        <f>IF(OR(L1368="",L1368=0),"",ROUND(100/L1368,0))</f>
        <v/>
      </c>
      <c r="N1368" t="inlineStr"/>
    </row>
    <row r="1369">
      <c r="A1369" t="n">
        <v>155</v>
      </c>
      <c r="B1369" t="inlineStr">
        <is>
          <t>[Dehkia] Aakman Temple</t>
        </is>
      </c>
      <c r="C1369" t="inlineStr">
        <is>
          <t>Sealed Black Magic Crystal</t>
        </is>
      </c>
      <c r="D1369" t="n">
        <v>8.124393</v>
      </c>
      <c r="E1369" t="n">
        <v>8375</v>
      </c>
      <c r="F1369" s="3" t="n">
        <v>0.9700767761194029</v>
      </c>
      <c r="G1369" t="n">
        <v>1031</v>
      </c>
      <c r="H1369" s="3" t="n">
        <v>0.9537083955561341</v>
      </c>
      <c r="I1369" s="3" t="n">
        <v>0.9866556121921617</v>
      </c>
      <c r="J1369" t="n">
        <v>13380.5</v>
      </c>
      <c r="K1369">
        <f>IF(IFERROR(INDEX(Spots!$K$2:$K$96,MATCH(A1369,Spots!$A$2:$A$96,0)),"")="","",IFERROR(INDEX(Spots!$K$2:$K$96,MATCH(A1369,Spots!$A$2:$A$96,0)),""))</f>
        <v/>
      </c>
      <c r="L1369" s="3">
        <f>IF(OR(K1369="",F1369=""),"",F1369/1000*K1369*100)</f>
        <v/>
      </c>
      <c r="M1369">
        <f>IF(OR(L1369="",L1369=0),"",ROUND(100/L1369,0))</f>
        <v/>
      </c>
      <c r="N1369" t="inlineStr"/>
    </row>
    <row r="1370">
      <c r="A1370" t="n">
        <v>155</v>
      </c>
      <c r="B1370" t="inlineStr">
        <is>
          <t>[Dehkia] Aakman Temple</t>
        </is>
      </c>
      <c r="C1370" t="inlineStr">
        <is>
          <t>Scroll Written in Ancient Language</t>
        </is>
      </c>
      <c r="D1370" t="n">
        <v>7.066</v>
      </c>
      <c r="E1370" t="n">
        <v>8375</v>
      </c>
      <c r="F1370" s="3" t="n">
        <v>0.8437014925373134</v>
      </c>
      <c r="G1370" t="n">
        <v>1185</v>
      </c>
      <c r="H1370" s="3" t="n">
        <v>0.8284411260468195</v>
      </c>
      <c r="I1370" s="3" t="n">
        <v>0.8591723587612745</v>
      </c>
      <c r="J1370" t="n">
        <v>11637.3</v>
      </c>
      <c r="K1370">
        <f>IF(IFERROR(INDEX(Spots!$K$2:$K$96,MATCH(A1370,Spots!$A$2:$A$96,0)),"")="","",IFERROR(INDEX(Spots!$K$2:$K$96,MATCH(A1370,Spots!$A$2:$A$96,0)),""))</f>
        <v/>
      </c>
      <c r="L1370" s="3">
        <f>IF(OR(K1370="",F1370=""),"",F1370/1000*K1370*100)</f>
        <v/>
      </c>
      <c r="M1370">
        <f>IF(OR(L1370="",L1370=0),"",ROUND(100/L1370,0))</f>
        <v/>
      </c>
      <c r="N1370" t="inlineStr"/>
    </row>
    <row r="1371">
      <c r="A1371" t="n">
        <v>155</v>
      </c>
      <c r="B1371" t="inlineStr">
        <is>
          <t>[Dehkia] Aakman Temple</t>
        </is>
      </c>
      <c r="C1371" t="inlineStr">
        <is>
          <t>Imperfect Lightstone of Fire</t>
        </is>
      </c>
      <c r="D1371" t="n">
        <v>3.75989</v>
      </c>
      <c r="E1371" t="n">
        <v>8375</v>
      </c>
      <c r="F1371" s="3" t="n">
        <v>0.4489420895522388</v>
      </c>
      <c r="G1371" t="n">
        <v>2227</v>
      </c>
      <c r="H1371" s="3" t="n">
        <v>0.4378289265570468</v>
      </c>
      <c r="I1371" s="3" t="n">
        <v>0.4602659953807742</v>
      </c>
      <c r="J1371" t="n">
        <v>6192.4</v>
      </c>
      <c r="K1371">
        <f>IF(IFERROR(INDEX(Spots!$K$2:$K$96,MATCH(A1371,Spots!$A$2:$A$96,0)),"")="","",IFERROR(INDEX(Spots!$K$2:$K$96,MATCH(A1371,Spots!$A$2:$A$96,0)),""))</f>
        <v/>
      </c>
      <c r="L1371" s="3">
        <f>IF(OR(K1371="",F1371=""),"",F1371/1000*K1371*100)</f>
        <v/>
      </c>
      <c r="M1371">
        <f>IF(OR(L1371="",L1371=0),"",ROUND(100/L1371,0))</f>
        <v/>
      </c>
      <c r="N1371" t="inlineStr"/>
    </row>
    <row r="1372">
      <c r="A1372" t="n">
        <v>155</v>
      </c>
      <c r="B1372" t="inlineStr">
        <is>
          <t>[Dehkia] Aakman Temple</t>
        </is>
      </c>
      <c r="C1372" t="inlineStr">
        <is>
          <t>Void Tainted Whispers</t>
        </is>
      </c>
      <c r="D1372" t="n">
        <v>0.83995398</v>
      </c>
      <c r="E1372" t="n">
        <v>8375</v>
      </c>
      <c r="F1372" s="3" t="n">
        <v>0.1002930125373134</v>
      </c>
      <c r="G1372" t="n">
        <v>9971</v>
      </c>
      <c r="H1372" s="3" t="n">
        <v>0.09507681591922121</v>
      </c>
      <c r="I1372" s="3" t="n">
        <v>0.1057209505909701</v>
      </c>
      <c r="J1372" t="n">
        <v>1383.4</v>
      </c>
      <c r="K1372">
        <f>IF(IFERROR(INDEX(Spots!$K$2:$K$96,MATCH(A1372,Spots!$A$2:$A$96,0)),"")="","",IFERROR(INDEX(Spots!$K$2:$K$96,MATCH(A1372,Spots!$A$2:$A$96,0)),""))</f>
        <v/>
      </c>
      <c r="L1372" s="3">
        <f>IF(OR(K1372="",F1372=""),"",F1372/1000*K1372*100)</f>
        <v/>
      </c>
      <c r="M1372">
        <f>IF(OR(L1372="",L1372=0),"",ROUND(100/L1372,0))</f>
        <v/>
      </c>
      <c r="N1372" t="inlineStr"/>
    </row>
    <row r="1373">
      <c r="A1373" t="n">
        <v>155</v>
      </c>
      <c r="B1373" t="inlineStr">
        <is>
          <t>[Dehkia] Aakman Temple</t>
        </is>
      </c>
      <c r="C1373" t="inlineStr">
        <is>
          <t>Tungrad Earring</t>
        </is>
      </c>
      <c r="D1373" t="n">
        <v>0.40484567</v>
      </c>
      <c r="E1373" t="n">
        <v>8375</v>
      </c>
      <c r="F1373" s="3" t="n">
        <v>0.04833978149253731</v>
      </c>
      <c r="G1373" t="n">
        <v>20687</v>
      </c>
      <c r="H1373" s="3" t="n">
        <v>0.04473964407237846</v>
      </c>
      <c r="I1373" s="3" t="n">
        <v>0.05215248931688618</v>
      </c>
      <c r="J1373" t="n">
        <v>666.8</v>
      </c>
      <c r="K1373">
        <f>IF(IFERROR(INDEX(Spots!$K$2:$K$96,MATCH(A1373,Spots!$A$2:$A$96,0)),"")="","",IFERROR(INDEX(Spots!$K$2:$K$96,MATCH(A1373,Spots!$A$2:$A$96,0)),""))</f>
        <v/>
      </c>
      <c r="L1373" s="3">
        <f>IF(OR(K1373="",F1373=""),"",F1373/1000*K1373*100)</f>
        <v/>
      </c>
      <c r="M1373">
        <f>IF(OR(L1373="",L1373=0),"",ROUND(100/L1373,0))</f>
        <v/>
      </c>
      <c r="N1373" t="inlineStr"/>
    </row>
    <row r="1374">
      <c r="A1374" t="n">
        <v>155</v>
      </c>
      <c r="B1374" t="inlineStr">
        <is>
          <t>[Dehkia] Aakman Temple</t>
        </is>
      </c>
      <c r="C1374" t="inlineStr">
        <is>
          <t>Dehkia's Fragment</t>
        </is>
      </c>
      <c r="D1374" t="n">
        <v>0.22848985</v>
      </c>
      <c r="E1374" t="n">
        <v>8375</v>
      </c>
      <c r="F1374" s="3" t="n">
        <v>0.02728237014925373</v>
      </c>
      <c r="G1374" t="n">
        <v>36654</v>
      </c>
      <c r="H1374" s="3" t="n">
        <v>0.02459506539299928</v>
      </c>
      <c r="I1374" s="3" t="n">
        <v>0.03018313776754935</v>
      </c>
      <c r="J1374" t="n">
        <v>376.3</v>
      </c>
      <c r="K1374">
        <f>IF(IFERROR(INDEX(Spots!$K$2:$K$96,MATCH(A1374,Spots!$A$2:$A$96,0)),"")="","",IFERROR(INDEX(Spots!$K$2:$K$96,MATCH(A1374,Spots!$A$2:$A$96,0)),""))</f>
        <v/>
      </c>
      <c r="L1374" s="3">
        <f>IF(OR(K1374="",F1374=""),"",F1374/1000*K1374*100)</f>
        <v/>
      </c>
      <c r="M1374">
        <f>IF(OR(L1374="",L1374=0),"",ROUND(100/L1374,0))</f>
        <v/>
      </c>
      <c r="N1374" t="inlineStr"/>
    </row>
    <row r="1375">
      <c r="A1375" t="n">
        <v>155</v>
      </c>
      <c r="B1375" t="inlineStr">
        <is>
          <t>[Dehkia] Aakman Temple</t>
        </is>
      </c>
      <c r="C1375" t="inlineStr">
        <is>
          <t>Deboreka Earring</t>
        </is>
      </c>
      <c r="D1375" t="n">
        <v>0.18527752</v>
      </c>
      <c r="E1375" t="n">
        <v>8375</v>
      </c>
      <c r="F1375" s="3" t="n">
        <v>0.02212268895522388</v>
      </c>
      <c r="G1375" t="n">
        <v>45202</v>
      </c>
      <c r="H1375" s="3" t="n">
        <v>0.0197097531542049</v>
      </c>
      <c r="I1375" s="3" t="n">
        <v>0.02474948232454023</v>
      </c>
      <c r="J1375" t="n">
        <v>305.1</v>
      </c>
      <c r="K1375">
        <f>IF(IFERROR(INDEX(Spots!$K$2:$K$96,MATCH(A1375,Spots!$A$2:$A$96,0)),"")="","",IFERROR(INDEX(Spots!$K$2:$K$96,MATCH(A1375,Spots!$A$2:$A$96,0)),""))</f>
        <v/>
      </c>
      <c r="L1375" s="3">
        <f>IF(OR(K1375="",F1375=""),"",F1375/1000*K1375*100)</f>
        <v/>
      </c>
      <c r="M1375">
        <f>IF(OR(L1375="",L1375=0),"",ROUND(100/L1375,0))</f>
        <v/>
      </c>
      <c r="N1375" t="inlineStr"/>
    </row>
    <row r="1376">
      <c r="A1376" t="n">
        <v>155</v>
      </c>
      <c r="B1376" t="inlineStr">
        <is>
          <t>[Dehkia] Aakman Temple</t>
        </is>
      </c>
      <c r="C1376" t="inlineStr">
        <is>
          <t>Specter's Energy</t>
        </is>
      </c>
      <c r="D1376" t="n">
        <v>0.14590137</v>
      </c>
      <c r="E1376" t="n">
        <v>8375</v>
      </c>
      <c r="F1376" s="3" t="n">
        <v>0.01742105910447761</v>
      </c>
      <c r="G1376" t="n">
        <v>57402</v>
      </c>
      <c r="H1376" s="3" t="n">
        <v>0.01528770387772261</v>
      </c>
      <c r="I1376" s="3" t="n">
        <v>0.01976877358018828</v>
      </c>
      <c r="J1376" t="n">
        <v>240.3</v>
      </c>
      <c r="K1376">
        <f>IF(IFERROR(INDEX(Spots!$K$2:$K$96,MATCH(A1376,Spots!$A$2:$A$96,0)),"")="","",IFERROR(INDEX(Spots!$K$2:$K$96,MATCH(A1376,Spots!$A$2:$A$96,0)),""))</f>
        <v/>
      </c>
      <c r="L1376" s="3">
        <f>IF(OR(K1376="",F1376=""),"",F1376/1000*K1376*100)</f>
        <v/>
      </c>
      <c r="M1376">
        <f>IF(OR(L1376="",L1376=0),"",ROUND(100/L1376,0))</f>
        <v/>
      </c>
      <c r="N1376" t="inlineStr"/>
    </row>
    <row r="1377">
      <c r="A1377" t="n">
        <v>155</v>
      </c>
      <c r="B1377" t="inlineStr">
        <is>
          <t>[Dehkia] Aakman Temple</t>
        </is>
      </c>
      <c r="C1377" t="inlineStr">
        <is>
          <t>Aakman Temple Paint</t>
        </is>
      </c>
      <c r="D1377" t="n">
        <v>0.0833352</v>
      </c>
      <c r="E1377" t="n">
        <v>8375</v>
      </c>
      <c r="F1377" s="3" t="n">
        <v>0.009950471641791045</v>
      </c>
      <c r="G1377" t="n">
        <v>100498</v>
      </c>
      <c r="H1377" s="3" t="n">
        <v>0.008355320380597137</v>
      </c>
      <c r="I1377" s="3" t="n">
        <v>0.01176141169712712</v>
      </c>
      <c r="J1377" t="n">
        <v>137.2</v>
      </c>
      <c r="K1377">
        <f>IF(IFERROR(INDEX(Spots!$K$2:$K$96,MATCH(A1377,Spots!$A$2:$A$96,0)),"")="","",IFERROR(INDEX(Spots!$K$2:$K$96,MATCH(A1377,Spots!$A$2:$A$96,0)),""))</f>
        <v/>
      </c>
      <c r="L1377" s="3">
        <f>IF(OR(K1377="",F1377=""),"",F1377/1000*K1377*100)</f>
        <v/>
      </c>
      <c r="M1377">
        <f>IF(OR(L1377="",L1377=0),"",ROUND(100/L1377,0))</f>
        <v/>
      </c>
      <c r="N1377" t="inlineStr"/>
    </row>
    <row r="1378">
      <c r="A1378" t="n">
        <v>155</v>
      </c>
      <c r="B1378" t="inlineStr">
        <is>
          <t>[Dehkia] Aakman Temple</t>
        </is>
      </c>
      <c r="C1378" t="inlineStr">
        <is>
          <t>Any Artifact</t>
        </is>
      </c>
      <c r="D1378" t="n">
        <v>0.07688482000000001</v>
      </c>
      <c r="E1378" t="n">
        <v>8375</v>
      </c>
      <c r="F1378" s="3" t="n">
        <v>0.009180277014925374</v>
      </c>
      <c r="G1378" t="n">
        <v>108929</v>
      </c>
      <c r="H1378" s="3" t="n">
        <v>0.007650885865465606</v>
      </c>
      <c r="I1378" s="3" t="n">
        <v>0.01092569601448714</v>
      </c>
      <c r="J1378" t="n">
        <v>126.6</v>
      </c>
      <c r="K1378">
        <f>IF(IFERROR(INDEX(Spots!$K$2:$K$96,MATCH(A1378,Spots!$A$2:$A$96,0)),"")="","",IFERROR(INDEX(Spots!$K$2:$K$96,MATCH(A1378,Spots!$A$2:$A$96,0)),""))</f>
        <v/>
      </c>
      <c r="L1378" s="3">
        <f>IF(OR(K1378="",F1378=""),"",F1378/1000*K1378*100)</f>
        <v/>
      </c>
      <c r="M1378">
        <f>IF(OR(L1378="",L1378=0),"",ROUND(100/L1378,0))</f>
        <v/>
      </c>
      <c r="N1378" t="inlineStr"/>
    </row>
    <row r="1379">
      <c r="A1379" t="n">
        <v>143</v>
      </c>
      <c r="B1379" t="inlineStr">
        <is>
          <t>[Dehkia] Ash Forest</t>
        </is>
      </c>
      <c r="C1379" t="inlineStr">
        <is>
          <t>Black Stone</t>
        </is>
      </c>
      <c r="D1379" t="n">
        <v>75.32899999999999</v>
      </c>
      <c r="E1379" t="n">
        <v>7711.6</v>
      </c>
      <c r="F1379" s="3" t="n">
        <v>9.768271175890865</v>
      </c>
      <c r="G1379" t="n">
        <v>102</v>
      </c>
      <c r="H1379" s="3" t="n">
        <v>9.717678568825411</v>
      </c>
      <c r="I1379" s="3" t="n">
        <v>9.819061891548786</v>
      </c>
      <c r="J1379" t="n">
        <v>142843.9</v>
      </c>
      <c r="K1379">
        <f>IF(IFERROR(INDEX(Spots!$K$2:$K$96,MATCH(A1379,Spots!$A$2:$A$96,0)),"")="","",IFERROR(INDEX(Spots!$K$2:$K$96,MATCH(A1379,Spots!$A$2:$A$96,0)),""))</f>
        <v/>
      </c>
      <c r="L1379" s="3">
        <f>IF(OR(K1379="",F1379=""),"",F1379/1000*K1379*100)</f>
        <v/>
      </c>
      <c r="M1379">
        <f>IF(OR(L1379="",L1379=0),"",ROUND(100/L1379,0))</f>
        <v/>
      </c>
      <c r="N1379" t="inlineStr"/>
    </row>
    <row r="1380">
      <c r="A1380" t="n">
        <v>143</v>
      </c>
      <c r="B1380" t="inlineStr">
        <is>
          <t>[Dehkia] Ash Forest</t>
        </is>
      </c>
      <c r="C1380" t="inlineStr">
        <is>
          <t>Trace of Nature</t>
        </is>
      </c>
      <c r="D1380" t="n">
        <v>21.269</v>
      </c>
      <c r="E1380" t="n">
        <v>7711.6</v>
      </c>
      <c r="F1380" s="3" t="n">
        <v>2.75805280356865</v>
      </c>
      <c r="G1380" t="n">
        <v>363</v>
      </c>
      <c r="H1380" s="3" t="n">
        <v>2.731200087840521</v>
      </c>
      <c r="I1380" s="3" t="n">
        <v>2.785103784016615</v>
      </c>
      <c r="J1380" t="n">
        <v>40331.7</v>
      </c>
      <c r="K1380">
        <f>IF(IFERROR(INDEX(Spots!$K$2:$K$96,MATCH(A1380,Spots!$A$2:$A$96,0)),"")="","",IFERROR(INDEX(Spots!$K$2:$K$96,MATCH(A1380,Spots!$A$2:$A$96,0)),""))</f>
        <v/>
      </c>
      <c r="L1380" s="3">
        <f>IF(OR(K1380="",F1380=""),"",F1380/1000*K1380*100)</f>
        <v/>
      </c>
      <c r="M1380">
        <f>IF(OR(L1380="",L1380=0),"",ROUND(100/L1380,0))</f>
        <v/>
      </c>
      <c r="N1380" t="inlineStr"/>
    </row>
    <row r="1381">
      <c r="A1381" t="n">
        <v>143</v>
      </c>
      <c r="B1381" t="inlineStr">
        <is>
          <t>[Dehkia] Ash Forest</t>
        </is>
      </c>
      <c r="C1381" t="inlineStr">
        <is>
          <t>Caphras Stone</t>
        </is>
      </c>
      <c r="D1381" t="n">
        <v>17.356</v>
      </c>
      <c r="E1381" t="n">
        <v>7711.6</v>
      </c>
      <c r="F1381" s="3" t="n">
        <v>2.250635406400747</v>
      </c>
      <c r="G1381" t="n">
        <v>444</v>
      </c>
      <c r="H1381" s="3" t="n">
        <v>2.226384543541632</v>
      </c>
      <c r="I1381" s="3" t="n">
        <v>2.275084569605794</v>
      </c>
      <c r="J1381" t="n">
        <v>32911.6</v>
      </c>
      <c r="K1381">
        <f>IF(IFERROR(INDEX(Spots!$K$2:$K$96,MATCH(A1381,Spots!$A$2:$A$96,0)),"")="","",IFERROR(INDEX(Spots!$K$2:$K$96,MATCH(A1381,Spots!$A$2:$A$96,0)),""))</f>
        <v/>
      </c>
      <c r="L1381" s="3">
        <f>IF(OR(K1381="",F1381=""),"",F1381/1000*K1381*100)</f>
        <v/>
      </c>
      <c r="M1381">
        <f>IF(OR(L1381="",L1381=0),"",ROUND(100/L1381,0))</f>
        <v/>
      </c>
      <c r="N1381" t="inlineStr"/>
    </row>
    <row r="1382">
      <c r="A1382" t="n">
        <v>143</v>
      </c>
      <c r="B1382" t="inlineStr">
        <is>
          <t>[Dehkia] Ash Forest</t>
        </is>
      </c>
      <c r="C1382" t="inlineStr">
        <is>
          <t>Ancient Spirit Dust</t>
        </is>
      </c>
      <c r="D1382" t="n">
        <v>6.373361</v>
      </c>
      <c r="E1382" t="n">
        <v>7711.6</v>
      </c>
      <c r="F1382" s="3" t="n">
        <v>0.8264641578920068</v>
      </c>
      <c r="G1382" t="n">
        <v>1210</v>
      </c>
      <c r="H1382" s="3" t="n">
        <v>0.8117941643652329</v>
      </c>
      <c r="I1382" s="3" t="n">
        <v>0.8413326911998362</v>
      </c>
      <c r="J1382" t="n">
        <v>12085.6</v>
      </c>
      <c r="K1382">
        <f>IF(IFERROR(INDEX(Spots!$K$2:$K$96,MATCH(A1382,Spots!$A$2:$A$96,0)),"")="","",IFERROR(INDEX(Spots!$K$2:$K$96,MATCH(A1382,Spots!$A$2:$A$96,0)),""))</f>
        <v/>
      </c>
      <c r="L1382" s="3">
        <f>IF(OR(K1382="",F1382=""),"",F1382/1000*K1382*100)</f>
        <v/>
      </c>
      <c r="M1382">
        <f>IF(OR(L1382="",L1382=0),"",ROUND(100/L1382,0))</f>
        <v/>
      </c>
      <c r="N1382" t="inlineStr"/>
    </row>
    <row r="1383">
      <c r="A1383" t="n">
        <v>143</v>
      </c>
      <c r="B1383" t="inlineStr">
        <is>
          <t>[Dehkia] Ash Forest</t>
        </is>
      </c>
      <c r="C1383" t="inlineStr">
        <is>
          <t>Manshaum Voodoo Doll</t>
        </is>
      </c>
      <c r="D1383" t="n">
        <v>1.660479</v>
      </c>
      <c r="E1383" t="n">
        <v>7711.6</v>
      </c>
      <c r="F1383" s="3" t="n">
        <v>0.2153222418175217</v>
      </c>
      <c r="G1383" t="n">
        <v>4644</v>
      </c>
      <c r="H1383" s="3" t="n">
        <v>0.2078661524895938</v>
      </c>
      <c r="I1383" s="3" t="n">
        <v>0.2229774521926962</v>
      </c>
      <c r="J1383" t="n">
        <v>3148.7</v>
      </c>
      <c r="K1383">
        <f>IF(IFERROR(INDEX(Spots!$K$2:$K$96,MATCH(A1383,Spots!$A$2:$A$96,0)),"")="","",IFERROR(INDEX(Spots!$K$2:$K$96,MATCH(A1383,Spots!$A$2:$A$96,0)),""))</f>
        <v/>
      </c>
      <c r="L1383" s="3">
        <f>IF(OR(K1383="",F1383=""),"",F1383/1000*K1383*100)</f>
        <v/>
      </c>
      <c r="M1383">
        <f>IF(OR(L1383="",L1383=0),"",ROUND(100/L1383,0))</f>
        <v/>
      </c>
      <c r="N1383" t="inlineStr"/>
    </row>
    <row r="1384">
      <c r="A1384" t="n">
        <v>143</v>
      </c>
      <c r="B1384" t="inlineStr">
        <is>
          <t>[Dehkia] Ash Forest</t>
        </is>
      </c>
      <c r="C1384" t="inlineStr">
        <is>
          <t>Quturan's Black Leaf</t>
        </is>
      </c>
      <c r="D1384" t="n">
        <v>1.073732</v>
      </c>
      <c r="E1384" t="n">
        <v>7711.6</v>
      </c>
      <c r="F1384" s="3" t="n">
        <v>0.1392359562217957</v>
      </c>
      <c r="G1384" t="n">
        <v>7182</v>
      </c>
      <c r="H1384" s="3" t="n">
        <v>0.133252991024767</v>
      </c>
      <c r="I1384" s="3" t="n">
        <v>0.1454183308015487</v>
      </c>
      <c r="J1384" t="n">
        <v>2036.1</v>
      </c>
      <c r="K1384">
        <f>IF(IFERROR(INDEX(Spots!$K$2:$K$96,MATCH(A1384,Spots!$A$2:$A$96,0)),"")="","",IFERROR(INDEX(Spots!$K$2:$K$96,MATCH(A1384,Spots!$A$2:$A$96,0)),""))</f>
        <v/>
      </c>
      <c r="L1384" s="3">
        <f>IF(OR(K1384="",F1384=""),"",F1384/1000*K1384*100)</f>
        <v/>
      </c>
      <c r="M1384">
        <f>IF(OR(L1384="",L1384=0),"",ROUND(100/L1384,0))</f>
        <v/>
      </c>
      <c r="N1384" t="inlineStr"/>
    </row>
    <row r="1385">
      <c r="A1385" t="n">
        <v>143</v>
      </c>
      <c r="B1385" t="inlineStr">
        <is>
          <t>[Dehkia] Ash Forest</t>
        </is>
      </c>
      <c r="C1385" t="inlineStr">
        <is>
          <t>Void Tainted Whispers</t>
        </is>
      </c>
      <c r="D1385" t="n">
        <v>0.74690006</v>
      </c>
      <c r="E1385" t="n">
        <v>7711.6</v>
      </c>
      <c r="F1385" s="3" t="n">
        <v>0.09685409772291093</v>
      </c>
      <c r="G1385" t="n">
        <v>10325</v>
      </c>
      <c r="H1385" s="3" t="n">
        <v>0.09187494134961836</v>
      </c>
      <c r="I1385" s="3" t="n">
        <v>0.1020329558417977</v>
      </c>
      <c r="J1385" t="n">
        <v>1416.3</v>
      </c>
      <c r="K1385">
        <f>IF(IFERROR(INDEX(Spots!$K$2:$K$96,MATCH(A1385,Spots!$A$2:$A$96,0)),"")="","",IFERROR(INDEX(Spots!$K$2:$K$96,MATCH(A1385,Spots!$A$2:$A$96,0)),""))</f>
        <v/>
      </c>
      <c r="L1385" s="3">
        <f>IF(OR(K1385="",F1385=""),"",F1385/1000*K1385*100)</f>
        <v/>
      </c>
      <c r="M1385">
        <f>IF(OR(L1385="",L1385=0),"",ROUND(100/L1385,0))</f>
        <v/>
      </c>
      <c r="N1385" t="inlineStr"/>
    </row>
    <row r="1386">
      <c r="A1386" t="n">
        <v>143</v>
      </c>
      <c r="B1386" t="inlineStr">
        <is>
          <t>[Dehkia] Ash Forest</t>
        </is>
      </c>
      <c r="C1386" t="inlineStr">
        <is>
          <t>Dehkia's Fragment</t>
        </is>
      </c>
      <c r="D1386" t="n">
        <v>0.45918027</v>
      </c>
      <c r="E1386" t="n">
        <v>7711.6</v>
      </c>
      <c r="F1386" s="3" t="n">
        <v>0.05954409850095959</v>
      </c>
      <c r="G1386" t="n">
        <v>16794</v>
      </c>
      <c r="H1386" s="3" t="n">
        <v>0.05565416316075479</v>
      </c>
      <c r="I1386" s="3" t="n">
        <v>0.06363421937587006</v>
      </c>
      <c r="J1386" t="n">
        <v>870.7</v>
      </c>
      <c r="K1386">
        <f>IF(IFERROR(INDEX(Spots!$K$2:$K$96,MATCH(A1386,Spots!$A$2:$A$96,0)),"")="","",IFERROR(INDEX(Spots!$K$2:$K$96,MATCH(A1386,Spots!$A$2:$A$96,0)),""))</f>
        <v/>
      </c>
      <c r="L1386" s="3">
        <f>IF(OR(K1386="",F1386=""),"",F1386/1000*K1386*100)</f>
        <v/>
      </c>
      <c r="M1386">
        <f>IF(OR(L1386="",L1386=0),"",ROUND(100/L1386,0))</f>
        <v/>
      </c>
      <c r="N1386" t="inlineStr"/>
    </row>
    <row r="1387">
      <c r="A1387" t="n">
        <v>143</v>
      </c>
      <c r="B1387" t="inlineStr">
        <is>
          <t>[Dehkia] Ash Forest</t>
        </is>
      </c>
      <c r="C1387" t="inlineStr">
        <is>
          <t>Any Artifact</t>
        </is>
      </c>
      <c r="D1387" t="n">
        <v>0.33777277</v>
      </c>
      <c r="E1387" t="n">
        <v>7711.6</v>
      </c>
      <c r="F1387" s="3" t="n">
        <v>0.04380060817469785</v>
      </c>
      <c r="G1387" t="n">
        <v>22831</v>
      </c>
      <c r="H1387" s="3" t="n">
        <v>0.0404736504796196</v>
      </c>
      <c r="I1387" s="3" t="n">
        <v>0.04732812210019176</v>
      </c>
      <c r="J1387" t="n">
        <v>640.5</v>
      </c>
      <c r="K1387">
        <f>IF(IFERROR(INDEX(Spots!$K$2:$K$96,MATCH(A1387,Spots!$A$2:$A$96,0)),"")="","",IFERROR(INDEX(Spots!$K$2:$K$96,MATCH(A1387,Spots!$A$2:$A$96,0)),""))</f>
        <v/>
      </c>
      <c r="L1387" s="3">
        <f>IF(OR(K1387="",F1387=""),"",F1387/1000*K1387*100)</f>
        <v/>
      </c>
      <c r="M1387">
        <f>IF(OR(L1387="",L1387=0),"",ROUND(100/L1387,0))</f>
        <v/>
      </c>
      <c r="N1387" t="inlineStr"/>
    </row>
    <row r="1388">
      <c r="A1388" t="n">
        <v>143</v>
      </c>
      <c r="B1388" t="inlineStr">
        <is>
          <t>[Dehkia] Ash Forest</t>
        </is>
      </c>
      <c r="C1388" t="inlineStr">
        <is>
          <t>Deboreka Necklace</t>
        </is>
      </c>
      <c r="D1388" t="n">
        <v>0.27869875</v>
      </c>
      <c r="E1388" t="n">
        <v>7711.6</v>
      </c>
      <c r="F1388" s="3" t="n">
        <v>0.03614019788370766</v>
      </c>
      <c r="G1388" t="n">
        <v>27670</v>
      </c>
      <c r="H1388" s="3" t="n">
        <v>0.03312415642708733</v>
      </c>
      <c r="I1388" s="3" t="n">
        <v>0.03935705774435192</v>
      </c>
      <c r="J1388" t="n">
        <v>528.5</v>
      </c>
      <c r="K1388">
        <f>IF(IFERROR(INDEX(Spots!$K$2:$K$96,MATCH(A1388,Spots!$A$2:$A$96,0)),"")="","",IFERROR(INDEX(Spots!$K$2:$K$96,MATCH(A1388,Spots!$A$2:$A$96,0)),""))</f>
        <v/>
      </c>
      <c r="L1388" s="3">
        <f>IF(OR(K1388="",F1388=""),"",F1388/1000*K1388*100)</f>
        <v/>
      </c>
      <c r="M1388">
        <f>IF(OR(L1388="",L1388=0),"",ROUND(100/L1388,0))</f>
        <v/>
      </c>
      <c r="N1388" t="inlineStr"/>
    </row>
    <row r="1389">
      <c r="A1389" t="n">
        <v>143</v>
      </c>
      <c r="B1389" t="inlineStr">
        <is>
          <t>[Dehkia] Ash Forest</t>
        </is>
      </c>
      <c r="C1389" t="inlineStr">
        <is>
          <t>Imperfect Lightstone of Fire</t>
        </is>
      </c>
      <c r="D1389" t="n">
        <v>0.24241938</v>
      </c>
      <c r="E1389" t="n">
        <v>7711.6</v>
      </c>
      <c r="F1389" s="3" t="n">
        <v>0.03143567871777581</v>
      </c>
      <c r="G1389" t="n">
        <v>31811</v>
      </c>
      <c r="H1389" s="3" t="n">
        <v>0.02862720899435123</v>
      </c>
      <c r="I1389" s="3" t="n">
        <v>0.0344451730926924</v>
      </c>
      <c r="J1389" t="n">
        <v>459.7</v>
      </c>
      <c r="K1389">
        <f>IF(IFERROR(INDEX(Spots!$K$2:$K$96,MATCH(A1389,Spots!$A$2:$A$96,0)),"")="","",IFERROR(INDEX(Spots!$K$2:$K$96,MATCH(A1389,Spots!$A$2:$A$96,0)),""))</f>
        <v/>
      </c>
      <c r="L1389" s="3">
        <f>IF(OR(K1389="",F1389=""),"",F1389/1000*K1389*100)</f>
        <v/>
      </c>
      <c r="M1389">
        <f>IF(OR(L1389="",L1389=0),"",ROUND(100/L1389,0))</f>
        <v/>
      </c>
      <c r="N1389" t="inlineStr"/>
    </row>
    <row r="1390">
      <c r="A1390" t="n">
        <v>143</v>
      </c>
      <c r="B1390" t="inlineStr">
        <is>
          <t>[Dehkia] Ash Forest</t>
        </is>
      </c>
      <c r="C1390" t="inlineStr">
        <is>
          <t>Mass of Pure Magic</t>
        </is>
      </c>
      <c r="D1390" t="n">
        <v>0.17181793</v>
      </c>
      <c r="E1390" t="n">
        <v>7711.6</v>
      </c>
      <c r="F1390" s="3" t="n">
        <v>0.02228045152756886</v>
      </c>
      <c r="G1390" t="n">
        <v>44882</v>
      </c>
      <c r="H1390" s="3" t="n">
        <v>0.01992646074141569</v>
      </c>
      <c r="I1390" s="3" t="n">
        <v>0.02483604041104152</v>
      </c>
      <c r="J1390" t="n">
        <v>325.8</v>
      </c>
      <c r="K1390">
        <f>IF(IFERROR(INDEX(Spots!$K$2:$K$96,MATCH(A1390,Spots!$A$2:$A$96,0)),"")="","",IFERROR(INDEX(Spots!$K$2:$K$96,MATCH(A1390,Spots!$A$2:$A$96,0)),""))</f>
        <v/>
      </c>
      <c r="L1390" s="3">
        <f>IF(OR(K1390="",F1390=""),"",F1390/1000*K1390*100)</f>
        <v/>
      </c>
      <c r="M1390">
        <f>IF(OR(L1390="",L1390=0),"",ROUND(100/L1390,0))</f>
        <v/>
      </c>
      <c r="N1390" t="inlineStr"/>
    </row>
    <row r="1391">
      <c r="A1391" t="n">
        <v>143</v>
      </c>
      <c r="B1391" t="inlineStr">
        <is>
          <t>[Dehkia] Ash Forest</t>
        </is>
      </c>
      <c r="C1391" t="inlineStr">
        <is>
          <t>Ash Forest Paint</t>
        </is>
      </c>
      <c r="D1391" t="n">
        <v>0.07788977</v>
      </c>
      <c r="E1391" t="n">
        <v>7711.6</v>
      </c>
      <c r="F1391" s="3" t="n">
        <v>0.01010033845116448</v>
      </c>
      <c r="G1391" t="n">
        <v>99007</v>
      </c>
      <c r="H1391" s="3" t="n">
        <v>0.008537015272756444</v>
      </c>
      <c r="I1391" s="3" t="n">
        <v>0.01186700385114236</v>
      </c>
      <c r="J1391" t="n">
        <v>147.7</v>
      </c>
      <c r="K1391">
        <f>IF(IFERROR(INDEX(Spots!$K$2:$K$96,MATCH(A1391,Spots!$A$2:$A$96,0)),"")="","",IFERROR(INDEX(Spots!$K$2:$K$96,MATCH(A1391,Spots!$A$2:$A$96,0)),""))</f>
        <v/>
      </c>
      <c r="L1391" s="3">
        <f>IF(OR(K1391="",F1391=""),"",F1391/1000*K1391*100)</f>
        <v/>
      </c>
      <c r="M1391">
        <f>IF(OR(L1391="",L1391=0),"",ROUND(100/L1391,0))</f>
        <v/>
      </c>
      <c r="N1391" t="inlineStr"/>
    </row>
    <row r="1392">
      <c r="A1392" t="n">
        <v>143</v>
      </c>
      <c r="B1392" t="inlineStr">
        <is>
          <t>[Dehkia] Ash Forest</t>
        </is>
      </c>
      <c r="C1392" t="inlineStr">
        <is>
          <t>Imperfect Lightstone of Earth</t>
        </is>
      </c>
      <c r="D1392" t="n">
        <v>0.03908065</v>
      </c>
      <c r="E1392" t="n">
        <v>7711.6</v>
      </c>
      <c r="F1392" s="3" t="n">
        <v>0.005067774521500077</v>
      </c>
      <c r="G1392" t="n">
        <v>197325</v>
      </c>
      <c r="H1392" s="3" t="n">
        <v>0.003979860532500528</v>
      </c>
      <c r="I1392" s="3" t="n">
        <v>0.006361193961720897</v>
      </c>
      <c r="J1392" t="n">
        <v>74.09999999999999</v>
      </c>
      <c r="K1392">
        <f>IF(IFERROR(INDEX(Spots!$K$2:$K$96,MATCH(A1392,Spots!$A$2:$A$96,0)),"")="","",IFERROR(INDEX(Spots!$K$2:$K$96,MATCH(A1392,Spots!$A$2:$A$96,0)),""))</f>
        <v/>
      </c>
      <c r="L1392" s="3">
        <f>IF(OR(K1392="",F1392=""),"",F1392/1000*K1392*100)</f>
        <v/>
      </c>
      <c r="M1392">
        <f>IF(OR(L1392="",L1392=0),"",ROUND(100/L1392,0))</f>
        <v/>
      </c>
      <c r="N1392" t="inlineStr"/>
    </row>
    <row r="1393">
      <c r="A1393" t="n">
        <v>143</v>
      </c>
      <c r="B1393" t="inlineStr">
        <is>
          <t>[Dehkia] Ash Forest</t>
        </is>
      </c>
      <c r="C1393" t="inlineStr">
        <is>
          <t>Imperfect Lightstone of Wind</t>
        </is>
      </c>
      <c r="D1393" t="n">
        <v>0.03753337</v>
      </c>
      <c r="E1393" t="n">
        <v>7711.6</v>
      </c>
      <c r="F1393" s="3" t="n">
        <v>0.004867131334612791</v>
      </c>
      <c r="G1393" t="n">
        <v>205460</v>
      </c>
      <c r="H1393" s="3" t="n">
        <v>0.003802310498069899</v>
      </c>
      <c r="I1393" s="3" t="n">
        <v>0.006137607450558215</v>
      </c>
      <c r="J1393" t="n">
        <v>71.2</v>
      </c>
      <c r="K1393">
        <f>IF(IFERROR(INDEX(Spots!$K$2:$K$96,MATCH(A1393,Spots!$A$2:$A$96,0)),"")="","",IFERROR(INDEX(Spots!$K$2:$K$96,MATCH(A1393,Spots!$A$2:$A$96,0)),""))</f>
        <v/>
      </c>
      <c r="L1393" s="3">
        <f>IF(OR(K1393="",F1393=""),"",F1393/1000*K1393*100)</f>
        <v/>
      </c>
      <c r="M1393">
        <f>IF(OR(L1393="",L1393=0),"",ROUND(100/L1393,0))</f>
        <v/>
      </c>
      <c r="N1393" t="inlineStr"/>
    </row>
    <row r="1394">
      <c r="A1394" t="n">
        <v>143</v>
      </c>
      <c r="B1394" t="inlineStr">
        <is>
          <t>[Dehkia] Ash Forest</t>
        </is>
      </c>
      <c r="C1394" t="inlineStr">
        <is>
          <t>Forgotten Limbo Box</t>
        </is>
      </c>
      <c r="D1394" t="n">
        <v>0.02126916</v>
      </c>
      <c r="E1394" t="n">
        <v>7711.6</v>
      </c>
      <c r="F1394" s="3" t="n">
        <v>0.002758073551532755</v>
      </c>
      <c r="G1394" t="n">
        <v>362572</v>
      </c>
      <c r="H1394" s="3" t="n">
        <v>0.001973138673771139</v>
      </c>
      <c r="I1394" s="3" t="n">
        <v>0.003751095355986298</v>
      </c>
      <c r="J1394" t="n">
        <v>40.3</v>
      </c>
      <c r="K1394">
        <f>IF(IFERROR(INDEX(Spots!$K$2:$K$96,MATCH(A1394,Spots!$A$2:$A$96,0)),"")="","",IFERROR(INDEX(Spots!$K$2:$K$96,MATCH(A1394,Spots!$A$2:$A$96,0)),""))</f>
        <v/>
      </c>
      <c r="L1394" s="3">
        <f>IF(OR(K1394="",F1394=""),"",F1394/1000*K1394*100)</f>
        <v/>
      </c>
      <c r="M1394">
        <f>IF(OR(L1394="",L1394=0),"",ROUND(100/L1394,0))</f>
        <v/>
      </c>
      <c r="N1394" t="inlineStr"/>
    </row>
    <row r="1395">
      <c r="A1395" t="n">
        <v>143</v>
      </c>
      <c r="B1395" t="inlineStr">
        <is>
          <t>[Dehkia] Ash Forest</t>
        </is>
      </c>
      <c r="C1395" t="inlineStr">
        <is>
          <t>Quturan's Left Lung</t>
        </is>
      </c>
      <c r="D1395" t="n">
        <v>0.00663376</v>
      </c>
      <c r="E1395" t="n">
        <v>7711.6</v>
      </c>
      <c r="F1395" s="3" t="n">
        <v>0.0008602313397997821</v>
      </c>
      <c r="G1395" t="n">
        <v>1162478</v>
      </c>
      <c r="H1395" s="3" t="n">
        <v>0.0004520351671581193</v>
      </c>
      <c r="I1395" s="3" t="n">
        <v>0.001483898947698437</v>
      </c>
      <c r="J1395" t="n">
        <v>12.6</v>
      </c>
      <c r="K1395">
        <f>IF(IFERROR(INDEX(Spots!$K$2:$K$96,MATCH(A1395,Spots!$A$2:$A$96,0)),"")="","",IFERROR(INDEX(Spots!$K$2:$K$96,MATCH(A1395,Spots!$A$2:$A$96,0)),""))</f>
        <v/>
      </c>
      <c r="L1395" s="3">
        <f>IF(OR(K1395="",F1395=""),"",F1395/1000*K1395*100)</f>
        <v/>
      </c>
      <c r="M1395">
        <f>IF(OR(L1395="",L1395=0),"",ROUND(100/L1395,0))</f>
        <v/>
      </c>
      <c r="N1395" t="inlineStr">
        <is>
          <t>low sample</t>
        </is>
      </c>
    </row>
    <row r="1396">
      <c r="A1396" t="n">
        <v>143</v>
      </c>
      <c r="B1396" t="inlineStr">
        <is>
          <t>[Dehkia] Ash Forest</t>
        </is>
      </c>
      <c r="C1396" t="inlineStr">
        <is>
          <t>Al Yurad's Ring Piece</t>
        </is>
      </c>
      <c r="D1396" t="n">
        <v>0.00286518</v>
      </c>
      <c r="E1396" t="n">
        <v>7711.6</v>
      </c>
      <c r="F1396" s="3" t="n">
        <v>0.0003715415737330775</v>
      </c>
      <c r="G1396" t="n">
        <v>2691489</v>
      </c>
      <c r="H1396" s="3" t="n">
        <v>0.0001270341480757586</v>
      </c>
      <c r="I1396" s="3" t="n">
        <v>0.000839412240539258</v>
      </c>
      <c r="J1396" t="n">
        <v>5.4</v>
      </c>
      <c r="K1396">
        <f>IF(IFERROR(INDEX(Spots!$K$2:$K$96,MATCH(A1396,Spots!$A$2:$A$96,0)),"")="","",IFERROR(INDEX(Spots!$K$2:$K$96,MATCH(A1396,Spots!$A$2:$A$96,0)),""))</f>
        <v/>
      </c>
      <c r="L1396" s="3">
        <f>IF(OR(K1396="",F1396=""),"",F1396/1000*K1396*100)</f>
        <v/>
      </c>
      <c r="M1396">
        <f>IF(OR(L1396="",L1396=0),"",ROUND(100/L1396,0))</f>
        <v/>
      </c>
      <c r="N1396" t="inlineStr">
        <is>
          <t>low sample</t>
        </is>
      </c>
    </row>
    <row r="1397">
      <c r="A1397" t="n">
        <v>163</v>
      </c>
      <c r="B1397" t="inlineStr">
        <is>
          <t>[Dehkia] Cadry Ruins</t>
        </is>
      </c>
      <c r="C1397" t="inlineStr">
        <is>
          <t>Ancient Spirit Dust</t>
        </is>
      </c>
      <c r="D1397" t="n">
        <v>44.807</v>
      </c>
      <c r="E1397" t="n">
        <v>10574</v>
      </c>
      <c r="F1397" s="3" t="n">
        <v>4.237469264233025</v>
      </c>
      <c r="G1397" t="n">
        <v>236</v>
      </c>
      <c r="H1397" s="3" t="n">
        <v>4.190661910039529</v>
      </c>
      <c r="I1397" s="3" t="n">
        <v>4.284669059820015</v>
      </c>
      <c r="J1397" t="n">
        <v>31312.6</v>
      </c>
      <c r="K1397">
        <f>IF(IFERROR(INDEX(Spots!$K$2:$K$96,MATCH(A1397,Spots!$A$2:$A$96,0)),"")="","",IFERROR(INDEX(Spots!$K$2:$K$96,MATCH(A1397,Spots!$A$2:$A$96,0)),""))</f>
        <v/>
      </c>
      <c r="L1397" s="3">
        <f>IF(OR(K1397="",F1397=""),"",F1397/1000*K1397*100)</f>
        <v/>
      </c>
      <c r="M1397">
        <f>IF(OR(L1397="",L1397=0),"",ROUND(100/L1397,0))</f>
        <v/>
      </c>
      <c r="N1397" t="inlineStr"/>
    </row>
    <row r="1398">
      <c r="A1398" t="n">
        <v>163</v>
      </c>
      <c r="B1398" t="inlineStr">
        <is>
          <t>[Dehkia] Cadry Ruins</t>
        </is>
      </c>
      <c r="C1398" t="inlineStr">
        <is>
          <t>Caphras Stone</t>
        </is>
      </c>
      <c r="D1398" t="n">
        <v>20.509</v>
      </c>
      <c r="E1398" t="n">
        <v>10574</v>
      </c>
      <c r="F1398" s="3" t="n">
        <v>1.939568753546435</v>
      </c>
      <c r="G1398" t="n">
        <v>516</v>
      </c>
      <c r="H1398" s="3" t="n">
        <v>1.907942837155708</v>
      </c>
      <c r="I1398" s="3" t="n">
        <v>1.971587468556818</v>
      </c>
      <c r="J1398" t="n">
        <v>14332.4</v>
      </c>
      <c r="K1398">
        <f>IF(IFERROR(INDEX(Spots!$K$2:$K$96,MATCH(A1398,Spots!$A$2:$A$96,0)),"")="","",IFERROR(INDEX(Spots!$K$2:$K$96,MATCH(A1398,Spots!$A$2:$A$96,0)),""))</f>
        <v/>
      </c>
      <c r="L1398" s="3">
        <f>IF(OR(K1398="",F1398=""),"",F1398/1000*K1398*100)</f>
        <v/>
      </c>
      <c r="M1398">
        <f>IF(OR(L1398="",L1398=0),"",ROUND(100/L1398,0))</f>
        <v/>
      </c>
      <c r="N1398" t="inlineStr"/>
    </row>
    <row r="1399">
      <c r="A1399" t="n">
        <v>163</v>
      </c>
      <c r="B1399" t="inlineStr">
        <is>
          <t>[Dehkia] Cadry Ruins</t>
        </is>
      </c>
      <c r="C1399" t="inlineStr">
        <is>
          <t>Black Stone</t>
        </is>
      </c>
      <c r="D1399" t="n">
        <v>18.13</v>
      </c>
      <c r="E1399" t="n">
        <v>10574</v>
      </c>
      <c r="F1399" s="3" t="n">
        <v>1.714582939285039</v>
      </c>
      <c r="G1399" t="n">
        <v>583</v>
      </c>
      <c r="H1399" s="3" t="n">
        <v>1.684855498833848</v>
      </c>
      <c r="I1399" s="3" t="n">
        <v>1.744703248533815</v>
      </c>
      <c r="J1399" t="n">
        <v>12669.8</v>
      </c>
      <c r="K1399">
        <f>IF(IFERROR(INDEX(Spots!$K$2:$K$96,MATCH(A1399,Spots!$A$2:$A$96,0)),"")="","",IFERROR(INDEX(Spots!$K$2:$K$96,MATCH(A1399,Spots!$A$2:$A$96,0)),""))</f>
        <v/>
      </c>
      <c r="L1399" s="3">
        <f>IF(OR(K1399="",F1399=""),"",F1399/1000*K1399*100)</f>
        <v/>
      </c>
      <c r="M1399">
        <f>IF(OR(L1399="",L1399=0),"",ROUND(100/L1399,0))</f>
        <v/>
      </c>
      <c r="N1399" t="inlineStr"/>
    </row>
    <row r="1400">
      <c r="A1400" t="n">
        <v>163</v>
      </c>
      <c r="B1400" t="inlineStr">
        <is>
          <t>[Dehkia] Cadry Ruins</t>
        </is>
      </c>
      <c r="C1400" t="inlineStr">
        <is>
          <t>Scroll Written in Ancient Language</t>
        </is>
      </c>
      <c r="D1400" t="n">
        <v>8.784416</v>
      </c>
      <c r="E1400" t="n">
        <v>10574</v>
      </c>
      <c r="F1400" s="3" t="n">
        <v>0.8307561944391906</v>
      </c>
      <c r="G1400" t="n">
        <v>1204</v>
      </c>
      <c r="H1400" s="3" t="n">
        <v>0.8101026899442128</v>
      </c>
      <c r="I1400" s="3" t="n">
        <v>0.8518030797468872</v>
      </c>
      <c r="J1400" t="n">
        <v>6138.8</v>
      </c>
      <c r="K1400">
        <f>IF(IFERROR(INDEX(Spots!$K$2:$K$96,MATCH(A1400,Spots!$A$2:$A$96,0)),"")="","",IFERROR(INDEX(Spots!$K$2:$K$96,MATCH(A1400,Spots!$A$2:$A$96,0)),""))</f>
        <v/>
      </c>
      <c r="L1400" s="3">
        <f>IF(OR(K1400="",F1400=""),"",F1400/1000*K1400*100)</f>
        <v/>
      </c>
      <c r="M1400">
        <f>IF(OR(L1400="",L1400=0),"",ROUND(100/L1400,0))</f>
        <v/>
      </c>
      <c r="N1400" t="inlineStr"/>
    </row>
    <row r="1401">
      <c r="A1401" t="n">
        <v>163</v>
      </c>
      <c r="B1401" t="inlineStr">
        <is>
          <t>[Dehkia] Cadry Ruins</t>
        </is>
      </c>
      <c r="C1401" t="inlineStr">
        <is>
          <t>Sealed Black Magic Crystal</t>
        </is>
      </c>
      <c r="D1401" t="n">
        <v>3.834754</v>
      </c>
      <c r="E1401" t="n">
        <v>10574</v>
      </c>
      <c r="F1401" s="3" t="n">
        <v>0.3626587857007755</v>
      </c>
      <c r="G1401" t="n">
        <v>2757</v>
      </c>
      <c r="H1401" s="3" t="n">
        <v>0.3490564816505249</v>
      </c>
      <c r="I1401" s="3" t="n">
        <v>0.3766553336727762</v>
      </c>
      <c r="J1401" t="n">
        <v>2679.9</v>
      </c>
      <c r="K1401">
        <f>IF(IFERROR(INDEX(Spots!$K$2:$K$96,MATCH(A1401,Spots!$A$2:$A$96,0)),"")="","",IFERROR(INDEX(Spots!$K$2:$K$96,MATCH(A1401,Spots!$A$2:$A$96,0)),""))</f>
        <v/>
      </c>
      <c r="L1401" s="3">
        <f>IF(OR(K1401="",F1401=""),"",F1401/1000*K1401*100)</f>
        <v/>
      </c>
      <c r="M1401">
        <f>IF(OR(L1401="",L1401=0),"",ROUND(100/L1401,0))</f>
        <v/>
      </c>
      <c r="N1401" t="inlineStr"/>
    </row>
    <row r="1402">
      <c r="A1402" t="n">
        <v>163</v>
      </c>
      <c r="B1402" t="inlineStr">
        <is>
          <t>[Dehkia] Cadry Ruins</t>
        </is>
      </c>
      <c r="C1402" t="inlineStr">
        <is>
          <t>Void Tainted Whispers</t>
        </is>
      </c>
      <c r="D1402" t="n">
        <v>1.358</v>
      </c>
      <c r="E1402" t="n">
        <v>10574</v>
      </c>
      <c r="F1402" s="3" t="n">
        <v>0.1284282201626631</v>
      </c>
      <c r="G1402" t="n">
        <v>7786</v>
      </c>
      <c r="H1402" s="3" t="n">
        <v>0.1203859886659581</v>
      </c>
      <c r="I1402" s="3" t="n">
        <v>0.1368664187596427</v>
      </c>
      <c r="J1402" t="n">
        <v>949</v>
      </c>
      <c r="K1402">
        <f>IF(IFERROR(INDEX(Spots!$K$2:$K$96,MATCH(A1402,Spots!$A$2:$A$96,0)),"")="","",IFERROR(INDEX(Spots!$K$2:$K$96,MATCH(A1402,Spots!$A$2:$A$96,0)),""))</f>
        <v/>
      </c>
      <c r="L1402" s="3">
        <f>IF(OR(K1402="",F1402=""),"",F1402/1000*K1402*100)</f>
        <v/>
      </c>
      <c r="M1402">
        <f>IF(OR(L1402="",L1402=0),"",ROUND(100/L1402,0))</f>
        <v/>
      </c>
      <c r="N1402" t="inlineStr"/>
    </row>
    <row r="1403">
      <c r="A1403" t="n">
        <v>163</v>
      </c>
      <c r="B1403" t="inlineStr">
        <is>
          <t>[Dehkia] Cadry Ruins</t>
        </is>
      </c>
      <c r="C1403" t="inlineStr">
        <is>
          <t>Dehkia's Fragment</t>
        </is>
      </c>
      <c r="D1403" t="n">
        <v>0.29687284</v>
      </c>
      <c r="E1403" t="n">
        <v>10574</v>
      </c>
      <c r="F1403" s="3" t="n">
        <v>0.02807573671269151</v>
      </c>
      <c r="G1403" t="n">
        <v>35618</v>
      </c>
      <c r="H1403" s="3" t="n">
        <v>0.02438486566215477</v>
      </c>
      <c r="I1403" s="3" t="n">
        <v>0.03216736356781817</v>
      </c>
      <c r="J1403" t="n">
        <v>207.5</v>
      </c>
      <c r="K1403">
        <f>IF(IFERROR(INDEX(Spots!$K$2:$K$96,MATCH(A1403,Spots!$A$2:$A$96,0)),"")="","",IFERROR(INDEX(Spots!$K$2:$K$96,MATCH(A1403,Spots!$A$2:$A$96,0)),""))</f>
        <v/>
      </c>
      <c r="L1403" s="3">
        <f>IF(OR(K1403="",F1403=""),"",F1403/1000*K1403*100)</f>
        <v/>
      </c>
      <c r="M1403">
        <f>IF(OR(L1403="",L1403=0),"",ROUND(100/L1403,0))</f>
        <v/>
      </c>
      <c r="N1403" t="inlineStr"/>
    </row>
    <row r="1404">
      <c r="A1404" t="n">
        <v>163</v>
      </c>
      <c r="B1404" t="inlineStr">
        <is>
          <t>[Dehkia] Cadry Ruins</t>
        </is>
      </c>
      <c r="C1404" t="inlineStr">
        <is>
          <t>Deboreka Ring</t>
        </is>
      </c>
      <c r="D1404" t="n">
        <v>0.24260213</v>
      </c>
      <c r="E1404" t="n">
        <v>10574</v>
      </c>
      <c r="F1404" s="3" t="n">
        <v>0.0229432693398903</v>
      </c>
      <c r="G1404" t="n">
        <v>43586</v>
      </c>
      <c r="H1404" s="3" t="n">
        <v>0.01961935323524545</v>
      </c>
      <c r="I1404" s="3" t="n">
        <v>0.02666888596370287</v>
      </c>
      <c r="J1404" t="n">
        <v>169.5</v>
      </c>
      <c r="K1404">
        <f>IF(IFERROR(INDEX(Spots!$K$2:$K$96,MATCH(A1404,Spots!$A$2:$A$96,0)),"")="","",IFERROR(INDEX(Spots!$K$2:$K$96,MATCH(A1404,Spots!$A$2:$A$96,0)),""))</f>
        <v/>
      </c>
      <c r="L1404" s="3">
        <f>IF(OR(K1404="",F1404=""),"",F1404/1000*K1404*100)</f>
        <v/>
      </c>
      <c r="M1404">
        <f>IF(OR(L1404="",L1404=0),"",ROUND(100/L1404,0))</f>
        <v/>
      </c>
      <c r="N1404" t="inlineStr"/>
    </row>
    <row r="1405">
      <c r="A1405" t="n">
        <v>163</v>
      </c>
      <c r="B1405" t="inlineStr">
        <is>
          <t>[Dehkia] Cadry Ruins</t>
        </is>
      </c>
      <c r="C1405" t="inlineStr">
        <is>
          <t>Any Artifact</t>
        </is>
      </c>
      <c r="D1405" t="n">
        <v>0.07258397</v>
      </c>
      <c r="E1405" t="n">
        <v>10574</v>
      </c>
      <c r="F1405" s="3" t="n">
        <v>0.00686438150179686</v>
      </c>
      <c r="G1405" t="n">
        <v>145680</v>
      </c>
      <c r="H1405" s="3" t="n">
        <v>0.005106171402719859</v>
      </c>
      <c r="I1405" s="3" t="n">
        <v>0.009032287062736167</v>
      </c>
      <c r="J1405" t="n">
        <v>50.7</v>
      </c>
      <c r="K1405">
        <f>IF(IFERROR(INDEX(Spots!$K$2:$K$96,MATCH(A1405,Spots!$A$2:$A$96,0)),"")="","",IFERROR(INDEX(Spots!$K$2:$K$96,MATCH(A1405,Spots!$A$2:$A$96,0)),""))</f>
        <v/>
      </c>
      <c r="L1405" s="3">
        <f>IF(OR(K1405="",F1405=""),"",F1405/1000*K1405*100)</f>
        <v/>
      </c>
      <c r="M1405">
        <f>IF(OR(L1405="",L1405=0),"",ROUND(100/L1405,0))</f>
        <v/>
      </c>
      <c r="N1405" t="inlineStr"/>
    </row>
    <row r="1406">
      <c r="A1406" t="n">
        <v>163</v>
      </c>
      <c r="B1406" t="inlineStr">
        <is>
          <t>[Dehkia] Cadry Ruins</t>
        </is>
      </c>
      <c r="C1406" t="inlineStr">
        <is>
          <t>Ring of Cadry Guardian</t>
        </is>
      </c>
      <c r="D1406" t="n">
        <v>0.03978015</v>
      </c>
      <c r="E1406" t="n">
        <v>10574</v>
      </c>
      <c r="F1406" s="3" t="n">
        <v>0.003762072063552109</v>
      </c>
      <c r="G1406" t="n">
        <v>265811</v>
      </c>
      <c r="H1406" s="3" t="n">
        <v>0.002495238952964069</v>
      </c>
      <c r="I1406" s="3" t="n">
        <v>0.005444590941913495</v>
      </c>
      <c r="J1406" t="n">
        <v>27.8</v>
      </c>
      <c r="K1406">
        <f>IF(IFERROR(INDEX(Spots!$K$2:$K$96,MATCH(A1406,Spots!$A$2:$A$96,0)),"")="","",IFERROR(INDEX(Spots!$K$2:$K$96,MATCH(A1406,Spots!$A$2:$A$96,0)),""))</f>
        <v/>
      </c>
      <c r="L1406" s="3">
        <f>IF(OR(K1406="",F1406=""),"",F1406/1000*K1406*100)</f>
        <v/>
      </c>
      <c r="M1406">
        <f>IF(OR(L1406="",L1406=0),"",ROUND(100/L1406,0))</f>
        <v/>
      </c>
      <c r="N1406" t="inlineStr">
        <is>
          <t>low sample</t>
        </is>
      </c>
    </row>
    <row r="1407">
      <c r="A1407" t="n">
        <v>163</v>
      </c>
      <c r="B1407" t="inlineStr">
        <is>
          <t>[Dehkia] Cadry Ruins</t>
        </is>
      </c>
      <c r="C1407" t="inlineStr">
        <is>
          <t>Forgotten Limbo Box</t>
        </is>
      </c>
      <c r="D1407" t="n">
        <v>0.0135425</v>
      </c>
      <c r="E1407" t="n">
        <v>10574</v>
      </c>
      <c r="F1407" s="3" t="n">
        <v>0.001280735766975601</v>
      </c>
      <c r="G1407" t="n">
        <v>780801</v>
      </c>
      <c r="H1407" s="3" t="n">
        <v>0.0005982115323936378</v>
      </c>
      <c r="I1407" s="3" t="n">
        <v>0.002394432493211365</v>
      </c>
      <c r="J1407" t="n">
        <v>9.5</v>
      </c>
      <c r="K1407">
        <f>IF(IFERROR(INDEX(Spots!$K$2:$K$96,MATCH(A1407,Spots!$A$2:$A$96,0)),"")="","",IFERROR(INDEX(Spots!$K$2:$K$96,MATCH(A1407,Spots!$A$2:$A$96,0)),""))</f>
        <v/>
      </c>
      <c r="L1407" s="3">
        <f>IF(OR(K1407="",F1407=""),"",F1407/1000*K1407*100)</f>
        <v/>
      </c>
      <c r="M1407">
        <f>IF(OR(L1407="",L1407=0),"",ROUND(100/L1407,0))</f>
        <v/>
      </c>
      <c r="N1407" t="inlineStr">
        <is>
          <t>low sample</t>
        </is>
      </c>
    </row>
    <row r="1408">
      <c r="A1408" t="n">
        <v>160</v>
      </c>
      <c r="B1408" t="inlineStr">
        <is>
          <t>[Dehkia] Crescent Shrine</t>
        </is>
      </c>
      <c r="C1408" t="inlineStr">
        <is>
          <t>Ancient Spirit Dust</t>
        </is>
      </c>
      <c r="D1408" t="n">
        <v>37.3</v>
      </c>
      <c r="E1408" t="n">
        <v>10019</v>
      </c>
      <c r="F1408" s="3" t="n">
        <v>3.722926439764447</v>
      </c>
      <c r="G1408" t="n">
        <v>269</v>
      </c>
      <c r="H1408" s="3" t="n">
        <v>3.660594564443759</v>
      </c>
      <c r="I1408" s="3" t="n">
        <v>3.786053471744785</v>
      </c>
      <c r="J1408" t="n">
        <v>13590.9</v>
      </c>
      <c r="K1408">
        <f>IF(IFERROR(INDEX(Spots!$K$2:$K$96,MATCH(A1408,Spots!$A$2:$A$96,0)),"")="","",IFERROR(INDEX(Spots!$K$2:$K$96,MATCH(A1408,Spots!$A$2:$A$96,0)),""))</f>
        <v/>
      </c>
      <c r="L1408" s="3">
        <f>IF(OR(K1408="",F1408=""),"",F1408/1000*K1408*100)</f>
        <v/>
      </c>
      <c r="M1408">
        <f>IF(OR(L1408="",L1408=0),"",ROUND(100/L1408,0))</f>
        <v/>
      </c>
      <c r="N1408" t="inlineStr"/>
    </row>
    <row r="1409">
      <c r="A1409" t="n">
        <v>160</v>
      </c>
      <c r="B1409" t="inlineStr">
        <is>
          <t>[Dehkia] Crescent Shrine</t>
        </is>
      </c>
      <c r="C1409" t="inlineStr">
        <is>
          <t>Black Stone</t>
        </is>
      </c>
      <c r="D1409" t="n">
        <v>17.99</v>
      </c>
      <c r="E1409" t="n">
        <v>10019</v>
      </c>
      <c r="F1409" s="3" t="n">
        <v>1.795588382074059</v>
      </c>
      <c r="G1409" t="n">
        <v>557</v>
      </c>
      <c r="H1409" s="3" t="n">
        <v>1.752379542151595</v>
      </c>
      <c r="I1409" s="3" t="n">
        <v>1.839593387057666</v>
      </c>
      <c r="J1409" t="n">
        <v>6555</v>
      </c>
      <c r="K1409">
        <f>IF(IFERROR(INDEX(Spots!$K$2:$K$96,MATCH(A1409,Spots!$A$2:$A$96,0)),"")="","",IFERROR(INDEX(Spots!$K$2:$K$96,MATCH(A1409,Spots!$A$2:$A$96,0)),""))</f>
        <v/>
      </c>
      <c r="L1409" s="3">
        <f>IF(OR(K1409="",F1409=""),"",F1409/1000*K1409*100)</f>
        <v/>
      </c>
      <c r="M1409">
        <f>IF(OR(L1409="",L1409=0),"",ROUND(100/L1409,0))</f>
        <v/>
      </c>
      <c r="N1409" t="inlineStr"/>
    </row>
    <row r="1410">
      <c r="A1410" t="n">
        <v>160</v>
      </c>
      <c r="B1410" t="inlineStr">
        <is>
          <t>[Dehkia] Crescent Shrine</t>
        </is>
      </c>
      <c r="C1410" t="inlineStr">
        <is>
          <t>Caphras Stone</t>
        </is>
      </c>
      <c r="D1410" t="n">
        <v>15.19</v>
      </c>
      <c r="E1410" t="n">
        <v>10019</v>
      </c>
      <c r="F1410" s="3" t="n">
        <v>1.516119373190937</v>
      </c>
      <c r="G1410" t="n">
        <v>660</v>
      </c>
      <c r="H1410" s="3" t="n">
        <v>1.47643635632936</v>
      </c>
      <c r="I1410" s="3" t="n">
        <v>1.556598846146772</v>
      </c>
      <c r="J1410" t="n">
        <v>5534.7</v>
      </c>
      <c r="K1410">
        <f>IF(IFERROR(INDEX(Spots!$K$2:$K$96,MATCH(A1410,Spots!$A$2:$A$96,0)),"")="","",IFERROR(INDEX(Spots!$K$2:$K$96,MATCH(A1410,Spots!$A$2:$A$96,0)),""))</f>
        <v/>
      </c>
      <c r="L1410" s="3">
        <f>IF(OR(K1410="",F1410=""),"",F1410/1000*K1410*100)</f>
        <v/>
      </c>
      <c r="M1410">
        <f>IF(OR(L1410="",L1410=0),"",ROUND(100/L1410,0))</f>
        <v/>
      </c>
      <c r="N1410" t="inlineStr"/>
    </row>
    <row r="1411">
      <c r="A1411" t="n">
        <v>160</v>
      </c>
      <c r="B1411" t="inlineStr">
        <is>
          <t>[Dehkia] Crescent Shrine</t>
        </is>
      </c>
      <c r="C1411" t="inlineStr">
        <is>
          <t>Scroll Written in Ancient Language</t>
        </is>
      </c>
      <c r="D1411" t="n">
        <v>5.330244</v>
      </c>
      <c r="E1411" t="n">
        <v>10019</v>
      </c>
      <c r="F1411" s="3" t="n">
        <v>0.532013574209003</v>
      </c>
      <c r="G1411" t="n">
        <v>1880</v>
      </c>
      <c r="H1411" s="3" t="n">
        <v>0.5086128442530212</v>
      </c>
      <c r="I1411" s="3" t="n">
        <v>0.5562132236146418</v>
      </c>
      <c r="J1411" t="n">
        <v>1942.2</v>
      </c>
      <c r="K1411">
        <f>IF(IFERROR(INDEX(Spots!$K$2:$K$96,MATCH(A1411,Spots!$A$2:$A$96,0)),"")="","",IFERROR(INDEX(Spots!$K$2:$K$96,MATCH(A1411,Spots!$A$2:$A$96,0)),""))</f>
        <v/>
      </c>
      <c r="L1411" s="3">
        <f>IF(OR(K1411="",F1411=""),"",F1411/1000*K1411*100)</f>
        <v/>
      </c>
      <c r="M1411">
        <f>IF(OR(L1411="",L1411=0),"",ROUND(100/L1411,0))</f>
        <v/>
      </c>
      <c r="N1411" t="inlineStr"/>
    </row>
    <row r="1412">
      <c r="A1412" t="n">
        <v>160</v>
      </c>
      <c r="B1412" t="inlineStr">
        <is>
          <t>[Dehkia] Crescent Shrine</t>
        </is>
      </c>
      <c r="C1412" t="inlineStr">
        <is>
          <t>Sealed Black Magic Crystal</t>
        </is>
      </c>
      <c r="D1412" t="n">
        <v>0.53390627</v>
      </c>
      <c r="E1412" t="n">
        <v>10019</v>
      </c>
      <c r="F1412" s="3" t="n">
        <v>0.05328937718335163</v>
      </c>
      <c r="G1412" t="n">
        <v>18765</v>
      </c>
      <c r="H1412" s="3" t="n">
        <v>0.04606326781051775</v>
      </c>
      <c r="I1412" s="3" t="n">
        <v>0.06132727923405231</v>
      </c>
      <c r="J1412" t="n">
        <v>194.5</v>
      </c>
      <c r="K1412">
        <f>IF(IFERROR(INDEX(Spots!$K$2:$K$96,MATCH(A1412,Spots!$A$2:$A$96,0)),"")="","",IFERROR(INDEX(Spots!$K$2:$K$96,MATCH(A1412,Spots!$A$2:$A$96,0)),""))</f>
        <v/>
      </c>
      <c r="L1412" s="3">
        <f>IF(OR(K1412="",F1412=""),"",F1412/1000*K1412*100)</f>
        <v/>
      </c>
      <c r="M1412">
        <f>IF(OR(L1412="",L1412=0),"",ROUND(100/L1412,0))</f>
        <v/>
      </c>
      <c r="N1412" t="inlineStr"/>
    </row>
    <row r="1413">
      <c r="A1413" t="n">
        <v>160</v>
      </c>
      <c r="B1413" t="inlineStr">
        <is>
          <t>[Dehkia] Crescent Shrine</t>
        </is>
      </c>
      <c r="C1413" t="inlineStr">
        <is>
          <t>Void Tainted Whispers</t>
        </is>
      </c>
      <c r="D1413" t="n">
        <v>0.22100155</v>
      </c>
      <c r="E1413" t="n">
        <v>10019</v>
      </c>
      <c r="F1413" s="3" t="n">
        <v>0.02205824433576205</v>
      </c>
      <c r="G1413" t="n">
        <v>45335</v>
      </c>
      <c r="H1413" s="3" t="n">
        <v>0.01750419995969761</v>
      </c>
      <c r="I1413" s="3" t="n">
        <v>0.02743428761746167</v>
      </c>
      <c r="J1413" t="n">
        <v>80.5</v>
      </c>
      <c r="K1413">
        <f>IF(IFERROR(INDEX(Spots!$K$2:$K$96,MATCH(A1413,Spots!$A$2:$A$96,0)),"")="","",IFERROR(INDEX(Spots!$K$2:$K$96,MATCH(A1413,Spots!$A$2:$A$96,0)),""))</f>
        <v/>
      </c>
      <c r="L1413" s="3">
        <f>IF(OR(K1413="",F1413=""),"",F1413/1000*K1413*100)</f>
        <v/>
      </c>
      <c r="M1413">
        <f>IF(OR(L1413="",L1413=0),"",ROUND(100/L1413,0))</f>
        <v/>
      </c>
      <c r="N1413" t="inlineStr"/>
    </row>
    <row r="1414">
      <c r="A1414" t="n">
        <v>160</v>
      </c>
      <c r="B1414" t="inlineStr">
        <is>
          <t>[Dehkia] Crescent Shrine</t>
        </is>
      </c>
      <c r="C1414" t="inlineStr">
        <is>
          <t>Dehkia's Fragment</t>
        </is>
      </c>
      <c r="D1414" t="n">
        <v>0.21367745</v>
      </c>
      <c r="E1414" t="n">
        <v>10019</v>
      </c>
      <c r="F1414" s="3" t="n">
        <v>0.02132722327577603</v>
      </c>
      <c r="G1414" t="n">
        <v>46888</v>
      </c>
      <c r="H1414" s="3" t="n">
        <v>0.01685375425887318</v>
      </c>
      <c r="I1414" s="3" t="n">
        <v>0.02662317206555934</v>
      </c>
      <c r="J1414" t="n">
        <v>77.90000000000001</v>
      </c>
      <c r="K1414">
        <f>IF(IFERROR(INDEX(Spots!$K$2:$K$96,MATCH(A1414,Spots!$A$2:$A$96,0)),"")="","",IFERROR(INDEX(Spots!$K$2:$K$96,MATCH(A1414,Spots!$A$2:$A$96,0)),""))</f>
        <v/>
      </c>
      <c r="L1414" s="3">
        <f>IF(OR(K1414="",F1414=""),"",F1414/1000*K1414*100)</f>
        <v/>
      </c>
      <c r="M1414">
        <f>IF(OR(L1414="",L1414=0),"",ROUND(100/L1414,0))</f>
        <v/>
      </c>
      <c r="N1414" t="inlineStr"/>
    </row>
    <row r="1415">
      <c r="A1415" t="n">
        <v>160</v>
      </c>
      <c r="B1415" t="inlineStr">
        <is>
          <t>[Dehkia] Crescent Shrine</t>
        </is>
      </c>
      <c r="C1415" t="inlineStr">
        <is>
          <t>Deboreka Ring</t>
        </is>
      </c>
      <c r="D1415" t="n">
        <v>0.21175994</v>
      </c>
      <c r="E1415" t="n">
        <v>10019</v>
      </c>
      <c r="F1415" s="3" t="n">
        <v>0.02113583591176764</v>
      </c>
      <c r="G1415" t="n">
        <v>47313</v>
      </c>
      <c r="H1415" s="3" t="n">
        <v>0.01668368973282333</v>
      </c>
      <c r="I1415" s="3" t="n">
        <v>0.02641059177418916</v>
      </c>
      <c r="J1415" t="n">
        <v>77.2</v>
      </c>
      <c r="K1415">
        <f>IF(IFERROR(INDEX(Spots!$K$2:$K$96,MATCH(A1415,Spots!$A$2:$A$96,0)),"")="","",IFERROR(INDEX(Spots!$K$2:$K$96,MATCH(A1415,Spots!$A$2:$A$96,0)),""))</f>
        <v/>
      </c>
      <c r="L1415" s="3">
        <f>IF(OR(K1415="",F1415=""),"",F1415/1000*K1415*100)</f>
        <v/>
      </c>
      <c r="M1415">
        <f>IF(OR(L1415="",L1415=0),"",ROUND(100/L1415,0))</f>
        <v/>
      </c>
      <c r="N1415" t="inlineStr"/>
    </row>
    <row r="1416">
      <c r="A1416" t="n">
        <v>160</v>
      </c>
      <c r="B1416" t="inlineStr">
        <is>
          <t>[Dehkia] Crescent Shrine</t>
        </is>
      </c>
      <c r="C1416" t="inlineStr">
        <is>
          <t>Any Artifact</t>
        </is>
      </c>
      <c r="D1416" t="n">
        <v>0.09215116</v>
      </c>
      <c r="E1416" t="n">
        <v>10019</v>
      </c>
      <c r="F1416" s="3" t="n">
        <v>0.009197640483082144</v>
      </c>
      <c r="G1416" t="n">
        <v>108724</v>
      </c>
      <c r="H1416" s="3" t="n">
        <v>0.006352527933715203</v>
      </c>
      <c r="I1416" s="3" t="n">
        <v>0.0128800127216235</v>
      </c>
      <c r="J1416" t="n">
        <v>33.6</v>
      </c>
      <c r="K1416">
        <f>IF(IFERROR(INDEX(Spots!$K$2:$K$96,MATCH(A1416,Spots!$A$2:$A$96,0)),"")="","",IFERROR(INDEX(Spots!$K$2:$K$96,MATCH(A1416,Spots!$A$2:$A$96,0)),""))</f>
        <v/>
      </c>
      <c r="L1416" s="3">
        <f>IF(OR(K1416="",F1416=""),"",F1416/1000*K1416*100)</f>
        <v/>
      </c>
      <c r="M1416">
        <f>IF(OR(L1416="",L1416=0),"",ROUND(100/L1416,0))</f>
        <v/>
      </c>
      <c r="N1416" t="inlineStr"/>
    </row>
    <row r="1417">
      <c r="A1417" t="n">
        <v>160</v>
      </c>
      <c r="B1417" t="inlineStr">
        <is>
          <t>[Dehkia] Crescent Shrine</t>
        </is>
      </c>
      <c r="C1417" t="inlineStr">
        <is>
          <t>Ring of Crescent Guardian</t>
        </is>
      </c>
      <c r="D1417" t="n">
        <v>0.06912649</v>
      </c>
      <c r="E1417" t="n">
        <v>10019</v>
      </c>
      <c r="F1417" s="3" t="n">
        <v>0.006899539874238946</v>
      </c>
      <c r="G1417" t="n">
        <v>144937</v>
      </c>
      <c r="H1417" s="3" t="n">
        <v>0.004471819265733424</v>
      </c>
      <c r="I1417" s="3" t="n">
        <v>0.0101710032037497</v>
      </c>
      <c r="J1417" t="n">
        <v>25.2</v>
      </c>
      <c r="K1417">
        <f>IF(IFERROR(INDEX(Spots!$K$2:$K$96,MATCH(A1417,Spots!$A$2:$A$96,0)),"")="","",IFERROR(INDEX(Spots!$K$2:$K$96,MATCH(A1417,Spots!$A$2:$A$96,0)),""))</f>
        <v/>
      </c>
      <c r="L1417" s="3">
        <f>IF(OR(K1417="",F1417=""),"",F1417/1000*K1417*100)</f>
        <v/>
      </c>
      <c r="M1417">
        <f>IF(OR(L1417="",L1417=0),"",ROUND(100/L1417,0))</f>
        <v/>
      </c>
      <c r="N1417" t="inlineStr">
        <is>
          <t>low sample</t>
        </is>
      </c>
    </row>
    <row r="1418">
      <c r="A1418" t="n">
        <v>160</v>
      </c>
      <c r="B1418" t="inlineStr">
        <is>
          <t>[Dehkia] Crescent Shrine</t>
        </is>
      </c>
      <c r="C1418" t="inlineStr">
        <is>
          <t>Forgotten Limbo Box</t>
        </is>
      </c>
      <c r="D1418" t="n">
        <v>0.01803502</v>
      </c>
      <c r="E1418" t="n">
        <v>10019</v>
      </c>
      <c r="F1418" s="3" t="n">
        <v>0.001800081844495458</v>
      </c>
      <c r="G1418" t="n">
        <v>555530</v>
      </c>
      <c r="H1418" s="3" t="n">
        <v>0.0006951764540945315</v>
      </c>
      <c r="I1418" s="3" t="n">
        <v>0.003791719317639871</v>
      </c>
      <c r="J1418" t="n">
        <v>6.6</v>
      </c>
      <c r="K1418">
        <f>IF(IFERROR(INDEX(Spots!$K$2:$K$96,MATCH(A1418,Spots!$A$2:$A$96,0)),"")="","",IFERROR(INDEX(Spots!$K$2:$K$96,MATCH(A1418,Spots!$A$2:$A$96,0)),""))</f>
        <v/>
      </c>
      <c r="L1418" s="3">
        <f>IF(OR(K1418="",F1418=""),"",F1418/1000*K1418*100)</f>
        <v/>
      </c>
      <c r="M1418">
        <f>IF(OR(L1418="",L1418=0),"",ROUND(100/L1418,0))</f>
        <v/>
      </c>
      <c r="N1418" t="inlineStr">
        <is>
          <t>low sample</t>
        </is>
      </c>
    </row>
    <row r="1419">
      <c r="A1419" t="n">
        <v>151</v>
      </c>
      <c r="B1419" t="inlineStr">
        <is>
          <t>[Dehkia] Cyclops Land</t>
        </is>
      </c>
      <c r="C1419" t="inlineStr">
        <is>
          <t>Corrupted Gargoyle Claw</t>
        </is>
      </c>
      <c r="D1419" t="n">
        <v>9661.5</v>
      </c>
      <c r="E1419" t="n">
        <v>5008.5</v>
      </c>
      <c r="F1419" s="3" t="n">
        <v>1929.020664869721</v>
      </c>
      <c r="G1419" t="n">
        <v>1</v>
      </c>
      <c r="H1419" s="3" t="n">
        <v>1926.097566638423</v>
      </c>
      <c r="I1419" s="3" t="n">
        <v>1931.947103780357</v>
      </c>
      <c r="J1419" t="n">
        <v>1671761.6</v>
      </c>
      <c r="K1419">
        <f>IF(IFERROR(INDEX(Spots!$K$2:$K$96,MATCH(A1419,Spots!$A$2:$A$96,0)),"")="","",IFERROR(INDEX(Spots!$K$2:$K$96,MATCH(A1419,Spots!$A$2:$A$96,0)),""))</f>
        <v/>
      </c>
      <c r="L1419" s="3">
        <f>IF(OR(K1419="",F1419=""),"",F1419/1000*K1419*100)</f>
        <v/>
      </c>
      <c r="M1419">
        <f>IF(OR(L1419="",L1419=0),"",ROUND(100/L1419,0))</f>
        <v/>
      </c>
      <c r="N1419" t="inlineStr"/>
    </row>
    <row r="1420">
      <c r="A1420" t="n">
        <v>151</v>
      </c>
      <c r="B1420" t="inlineStr">
        <is>
          <t>[Dehkia] Cyclops Land</t>
        </is>
      </c>
      <c r="C1420" t="inlineStr">
        <is>
          <t>Ancient Spirit Dust</t>
        </is>
      </c>
      <c r="D1420" t="n">
        <v>60.204</v>
      </c>
      <c r="E1420" t="n">
        <v>5008.5</v>
      </c>
      <c r="F1420" s="3" t="n">
        <v>12.02036537885594</v>
      </c>
      <c r="G1420" t="n">
        <v>83</v>
      </c>
      <c r="H1420" s="3" t="n">
        <v>11.79062801062937</v>
      </c>
      <c r="I1420" s="3" t="n">
        <v>12.25345360775322</v>
      </c>
      <c r="J1420" t="n">
        <v>10417.3</v>
      </c>
      <c r="K1420">
        <f>IF(IFERROR(INDEX(Spots!$K$2:$K$96,MATCH(A1420,Spots!$A$2:$A$96,0)),"")="","",IFERROR(INDEX(Spots!$K$2:$K$96,MATCH(A1420,Spots!$A$2:$A$96,0)),""))</f>
        <v/>
      </c>
      <c r="L1420" s="3">
        <f>IF(OR(K1420="",F1420=""),"",F1420/1000*K1420*100)</f>
        <v/>
      </c>
      <c r="M1420">
        <f>IF(OR(L1420="",L1420=0),"",ROUND(100/L1420,0))</f>
        <v/>
      </c>
      <c r="N1420" t="inlineStr"/>
    </row>
    <row r="1421">
      <c r="A1421" t="n">
        <v>151</v>
      </c>
      <c r="B1421" t="inlineStr">
        <is>
          <t>[Dehkia] Cyclops Land</t>
        </is>
      </c>
      <c r="C1421" t="inlineStr">
        <is>
          <t>Black Stone</t>
        </is>
      </c>
      <c r="D1421" t="n">
        <v>41.029</v>
      </c>
      <c r="E1421" t="n">
        <v>5008.5</v>
      </c>
      <c r="F1421" s="3" t="n">
        <v>8.191873814515324</v>
      </c>
      <c r="G1421" t="n">
        <v>122</v>
      </c>
      <c r="H1421" s="3" t="n">
        <v>8.002410119297975</v>
      </c>
      <c r="I1421" s="3" t="n">
        <v>8.384690700895639</v>
      </c>
      <c r="J1421" t="n">
        <v>7099.4</v>
      </c>
      <c r="K1421">
        <f>IF(IFERROR(INDEX(Spots!$K$2:$K$96,MATCH(A1421,Spots!$A$2:$A$96,0)),"")="","",IFERROR(INDEX(Spots!$K$2:$K$96,MATCH(A1421,Spots!$A$2:$A$96,0)),""))</f>
        <v/>
      </c>
      <c r="L1421" s="3">
        <f>IF(OR(K1421="",F1421=""),"",F1421/1000*K1421*100)</f>
        <v/>
      </c>
      <c r="M1421">
        <f>IF(OR(L1421="",L1421=0),"",ROUND(100/L1421,0))</f>
        <v/>
      </c>
      <c r="N1421" t="inlineStr"/>
    </row>
    <row r="1422">
      <c r="A1422" t="n">
        <v>151</v>
      </c>
      <c r="B1422" t="inlineStr">
        <is>
          <t>[Dehkia] Cyclops Land</t>
        </is>
      </c>
      <c r="C1422" t="inlineStr">
        <is>
          <t>Caphras Stone</t>
        </is>
      </c>
      <c r="D1422" t="n">
        <v>11.591</v>
      </c>
      <c r="E1422" t="n">
        <v>5008.5</v>
      </c>
      <c r="F1422" s="3" t="n">
        <v>2.314265748228012</v>
      </c>
      <c r="G1422" t="n">
        <v>432</v>
      </c>
      <c r="H1422" s="3" t="n">
        <v>2.214077957959936</v>
      </c>
      <c r="I1422" s="3" t="n">
        <v>2.417818470293712</v>
      </c>
      <c r="J1422" t="n">
        <v>2005.6</v>
      </c>
      <c r="K1422">
        <f>IF(IFERROR(INDEX(Spots!$K$2:$K$96,MATCH(A1422,Spots!$A$2:$A$96,0)),"")="","",IFERROR(INDEX(Spots!$K$2:$K$96,MATCH(A1422,Spots!$A$2:$A$96,0)),""))</f>
        <v/>
      </c>
      <c r="L1422" s="3">
        <f>IF(OR(K1422="",F1422=""),"",F1422/1000*K1422*100)</f>
        <v/>
      </c>
      <c r="M1422">
        <f>IF(OR(L1422="",L1422=0),"",ROUND(100/L1422,0))</f>
        <v/>
      </c>
      <c r="N1422" t="inlineStr"/>
    </row>
    <row r="1423">
      <c r="A1423" t="n">
        <v>151</v>
      </c>
      <c r="B1423" t="inlineStr">
        <is>
          <t>[Dehkia] Cyclops Land</t>
        </is>
      </c>
      <c r="C1423" t="inlineStr">
        <is>
          <t>Sealed Black Magic Crystal</t>
        </is>
      </c>
      <c r="D1423" t="n">
        <v>9.258476999999999</v>
      </c>
      <c r="E1423" t="n">
        <v>5008.5</v>
      </c>
      <c r="F1423" s="3" t="n">
        <v>1.848552860137765</v>
      </c>
      <c r="G1423" t="n">
        <v>541</v>
      </c>
      <c r="H1423" s="3" t="n">
        <v>1.759128439791068</v>
      </c>
      <c r="I1423" s="3" t="n">
        <v>1.941345183131156</v>
      </c>
      <c r="J1423" t="n">
        <v>1602</v>
      </c>
      <c r="K1423">
        <f>IF(IFERROR(INDEX(Spots!$K$2:$K$96,MATCH(A1423,Spots!$A$2:$A$96,0)),"")="","",IFERROR(INDEX(Spots!$K$2:$K$96,MATCH(A1423,Spots!$A$2:$A$96,0)),""))</f>
        <v/>
      </c>
      <c r="L1423" s="3">
        <f>IF(OR(K1423="",F1423=""),"",F1423/1000*K1423*100)</f>
        <v/>
      </c>
      <c r="M1423">
        <f>IF(OR(L1423="",L1423=0),"",ROUND(100/L1423,0))</f>
        <v/>
      </c>
      <c r="N1423" t="inlineStr"/>
    </row>
    <row r="1424">
      <c r="A1424" t="n">
        <v>151</v>
      </c>
      <c r="B1424" t="inlineStr">
        <is>
          <t>[Dehkia] Cyclops Land</t>
        </is>
      </c>
      <c r="C1424" t="inlineStr">
        <is>
          <t>Ancient Relic Crystal Shard</t>
        </is>
      </c>
      <c r="D1424" t="n">
        <v>5.560998</v>
      </c>
      <c r="E1424" t="n">
        <v>5008.5</v>
      </c>
      <c r="F1424" s="3" t="n">
        <v>1.110312069481881</v>
      </c>
      <c r="G1424" t="n">
        <v>901</v>
      </c>
      <c r="H1424" s="3" t="n">
        <v>1.04125552922942</v>
      </c>
      <c r="I1424" s="3" t="n">
        <v>1.182744610089295</v>
      </c>
      <c r="J1424" t="n">
        <v>962.2</v>
      </c>
      <c r="K1424">
        <f>IF(IFERROR(INDEX(Spots!$K$2:$K$96,MATCH(A1424,Spots!$A$2:$A$96,0)),"")="","",IFERROR(INDEX(Spots!$K$2:$K$96,MATCH(A1424,Spots!$A$2:$A$96,0)),""))</f>
        <v/>
      </c>
      <c r="L1424" s="3">
        <f>IF(OR(K1424="",F1424=""),"",F1424/1000*K1424*100)</f>
        <v/>
      </c>
      <c r="M1424">
        <f>IF(OR(L1424="",L1424=0),"",ROUND(100/L1424,0))</f>
        <v/>
      </c>
      <c r="N1424" t="inlineStr"/>
    </row>
    <row r="1425">
      <c r="A1425" t="n">
        <v>151</v>
      </c>
      <c r="B1425" t="inlineStr">
        <is>
          <t>[Dehkia] Cyclops Land</t>
        </is>
      </c>
      <c r="C1425" t="inlineStr">
        <is>
          <t>Trace of Nature</t>
        </is>
      </c>
      <c r="D1425" t="n">
        <v>4.225401</v>
      </c>
      <c r="E1425" t="n">
        <v>5008.5</v>
      </c>
      <c r="F1425" s="3" t="n">
        <v>0.8436460017969452</v>
      </c>
      <c r="G1425" t="n">
        <v>1185</v>
      </c>
      <c r="H1425" s="3" t="n">
        <v>0.7835925221693283</v>
      </c>
      <c r="I1425" s="3" t="n">
        <v>0.9070807651753231</v>
      </c>
      <c r="J1425" t="n">
        <v>731.1</v>
      </c>
      <c r="K1425">
        <f>IF(IFERROR(INDEX(Spots!$K$2:$K$96,MATCH(A1425,Spots!$A$2:$A$96,0)),"")="","",IFERROR(INDEX(Spots!$K$2:$K$96,MATCH(A1425,Spots!$A$2:$A$96,0)),""))</f>
        <v/>
      </c>
      <c r="L1425" s="3">
        <f>IF(OR(K1425="",F1425=""),"",F1425/1000*K1425*100)</f>
        <v/>
      </c>
      <c r="M1425">
        <f>IF(OR(L1425="",L1425=0),"",ROUND(100/L1425,0))</f>
        <v/>
      </c>
      <c r="N1425" t="inlineStr"/>
    </row>
    <row r="1426">
      <c r="A1426" t="n">
        <v>151</v>
      </c>
      <c r="B1426" t="inlineStr">
        <is>
          <t>[Dehkia] Cyclops Land</t>
        </is>
      </c>
      <c r="C1426" t="inlineStr">
        <is>
          <t>Void Tainted Whispers</t>
        </is>
      </c>
      <c r="D1426" t="n">
        <v>0.70249491</v>
      </c>
      <c r="E1426" t="n">
        <v>5008.5</v>
      </c>
      <c r="F1426" s="3" t="n">
        <v>0.140260539083558</v>
      </c>
      <c r="G1426" t="n">
        <v>7130</v>
      </c>
      <c r="H1426" s="3" t="n">
        <v>0.1164341228409749</v>
      </c>
      <c r="I1426" s="3" t="n">
        <v>0.1675271924581825</v>
      </c>
      <c r="J1426" t="n">
        <v>121.6</v>
      </c>
      <c r="K1426">
        <f>IF(IFERROR(INDEX(Spots!$K$2:$K$96,MATCH(A1426,Spots!$A$2:$A$96,0)),"")="","",IFERROR(INDEX(Spots!$K$2:$K$96,MATCH(A1426,Spots!$A$2:$A$96,0)),""))</f>
        <v/>
      </c>
      <c r="L1426" s="3">
        <f>IF(OR(K1426="",F1426=""),"",F1426/1000*K1426*100)</f>
        <v/>
      </c>
      <c r="M1426">
        <f>IF(OR(L1426="",L1426=0),"",ROUND(100/L1426,0))</f>
        <v/>
      </c>
      <c r="N1426" t="inlineStr"/>
    </row>
    <row r="1427">
      <c r="A1427" t="n">
        <v>151</v>
      </c>
      <c r="B1427" t="inlineStr">
        <is>
          <t>[Dehkia] Cyclops Land</t>
        </is>
      </c>
      <c r="C1427" t="inlineStr">
        <is>
          <t>Ancient Magic Crystal - Carmae</t>
        </is>
      </c>
      <c r="D1427" t="n">
        <v>0.66061061</v>
      </c>
      <c r="E1427" t="n">
        <v>5008.5</v>
      </c>
      <c r="F1427" s="3" t="n">
        <v>0.1318978955775182</v>
      </c>
      <c r="G1427" t="n">
        <v>7582</v>
      </c>
      <c r="H1427" s="3" t="n">
        <v>0.1088266813573087</v>
      </c>
      <c r="I1427" s="3" t="n">
        <v>0.1584124089409653</v>
      </c>
      <c r="J1427" t="n">
        <v>114.3</v>
      </c>
      <c r="K1427">
        <f>IF(IFERROR(INDEX(Spots!$K$2:$K$96,MATCH(A1427,Spots!$A$2:$A$96,0)),"")="","",IFERROR(INDEX(Spots!$K$2:$K$96,MATCH(A1427,Spots!$A$2:$A$96,0)),""))</f>
        <v/>
      </c>
      <c r="L1427" s="3">
        <f>IF(OR(K1427="",F1427=""),"",F1427/1000*K1427*100)</f>
        <v/>
      </c>
      <c r="M1427">
        <f>IF(OR(L1427="",L1427=0),"",ROUND(100/L1427,0))</f>
        <v/>
      </c>
      <c r="N1427" t="inlineStr"/>
    </row>
    <row r="1428">
      <c r="A1428" t="n">
        <v>151</v>
      </c>
      <c r="B1428" t="inlineStr">
        <is>
          <t>[Dehkia] Cyclops Land</t>
        </is>
      </c>
      <c r="C1428" t="inlineStr">
        <is>
          <t>Dawn Earring</t>
        </is>
      </c>
      <c r="D1428" t="n">
        <v>0.5814037399999999</v>
      </c>
      <c r="E1428" t="n">
        <v>5008.5</v>
      </c>
      <c r="F1428" s="3" t="n">
        <v>0.1160834062094439</v>
      </c>
      <c r="G1428" t="n">
        <v>8614</v>
      </c>
      <c r="H1428" s="3" t="n">
        <v>0.0945090113877709</v>
      </c>
      <c r="I1428" s="3" t="n">
        <v>0.1411077547373898</v>
      </c>
      <c r="J1428" t="n">
        <v>100.6</v>
      </c>
      <c r="K1428">
        <f>IF(IFERROR(INDEX(Spots!$K$2:$K$96,MATCH(A1428,Spots!$A$2:$A$96,0)),"")="","",IFERROR(INDEX(Spots!$K$2:$K$96,MATCH(A1428,Spots!$A$2:$A$96,0)),""))</f>
        <v/>
      </c>
      <c r="L1428" s="3">
        <f>IF(OR(K1428="",F1428=""),"",F1428/1000*K1428*100)</f>
        <v/>
      </c>
      <c r="M1428">
        <f>IF(OR(L1428="",L1428=0),"",ROUND(100/L1428,0))</f>
        <v/>
      </c>
      <c r="N1428" t="inlineStr"/>
    </row>
    <row r="1429">
      <c r="A1429" t="n">
        <v>151</v>
      </c>
      <c r="B1429" t="inlineStr">
        <is>
          <t>[Dehkia] Cyclops Land</t>
        </is>
      </c>
      <c r="C1429" t="inlineStr">
        <is>
          <t>Ancient Magic Crystal - Addis</t>
        </is>
      </c>
      <c r="D1429" t="n">
        <v>0.53925828</v>
      </c>
      <c r="E1429" t="n">
        <v>5008.5</v>
      </c>
      <c r="F1429" s="3" t="n">
        <v>0.1076686193471099</v>
      </c>
      <c r="G1429" t="n">
        <v>9288</v>
      </c>
      <c r="H1429" s="3" t="n">
        <v>0.08693246066633278</v>
      </c>
      <c r="I1429" s="3" t="n">
        <v>0.1318588449758077</v>
      </c>
      <c r="J1429" t="n">
        <v>93.3</v>
      </c>
      <c r="K1429">
        <f>IF(IFERROR(INDEX(Spots!$K$2:$K$96,MATCH(A1429,Spots!$A$2:$A$96,0)),"")="","",IFERROR(INDEX(Spots!$K$2:$K$96,MATCH(A1429,Spots!$A$2:$A$96,0)),""))</f>
        <v/>
      </c>
      <c r="L1429" s="3">
        <f>IF(OR(K1429="",F1429=""),"",F1429/1000*K1429*100)</f>
        <v/>
      </c>
      <c r="M1429">
        <f>IF(OR(L1429="",L1429=0),"",ROUND(100/L1429,0))</f>
        <v/>
      </c>
      <c r="N1429" t="inlineStr"/>
    </row>
    <row r="1430">
      <c r="A1430" t="n">
        <v>151</v>
      </c>
      <c r="B1430" t="inlineStr">
        <is>
          <t>[Dehkia] Cyclops Land</t>
        </is>
      </c>
      <c r="C1430" t="inlineStr">
        <is>
          <t>Imperfect Lightstone of Fire</t>
        </is>
      </c>
      <c r="D1430" t="n">
        <v>0.45470679</v>
      </c>
      <c r="E1430" t="n">
        <v>5008.5</v>
      </c>
      <c r="F1430" s="3" t="n">
        <v>0.090787020065888</v>
      </c>
      <c r="G1430" t="n">
        <v>11015</v>
      </c>
      <c r="H1430" s="3" t="n">
        <v>0.07183793352404048</v>
      </c>
      <c r="I1430" s="3" t="n">
        <v>0.1132000531338995</v>
      </c>
      <c r="J1430" t="n">
        <v>78.7</v>
      </c>
      <c r="K1430">
        <f>IF(IFERROR(INDEX(Spots!$K$2:$K$96,MATCH(A1430,Spots!$A$2:$A$96,0)),"")="","",IFERROR(INDEX(Spots!$K$2:$K$96,MATCH(A1430,Spots!$A$2:$A$96,0)),""))</f>
        <v/>
      </c>
      <c r="L1430" s="3">
        <f>IF(OR(K1430="",F1430=""),"",F1430/1000*K1430*100)</f>
        <v/>
      </c>
      <c r="M1430">
        <f>IF(OR(L1430="",L1430=0),"",ROUND(100/L1430,0))</f>
        <v/>
      </c>
      <c r="N1430" t="inlineStr"/>
    </row>
    <row r="1431">
      <c r="A1431" t="n">
        <v>151</v>
      </c>
      <c r="B1431" t="inlineStr">
        <is>
          <t>[Dehkia] Cyclops Land</t>
        </is>
      </c>
      <c r="C1431" t="inlineStr">
        <is>
          <t>Dehkia's Fragment</t>
        </is>
      </c>
      <c r="D1431" t="n">
        <v>0.24015549</v>
      </c>
      <c r="E1431" t="n">
        <v>5008.5</v>
      </c>
      <c r="F1431" s="3" t="n">
        <v>0.04794958370769691</v>
      </c>
      <c r="G1431" t="n">
        <v>20855</v>
      </c>
      <c r="H1431" s="3" t="n">
        <v>0.03448849424870791</v>
      </c>
      <c r="I1431" s="3" t="n">
        <v>0.06491940449300954</v>
      </c>
      <c r="J1431" t="n">
        <v>41.6</v>
      </c>
      <c r="K1431">
        <f>IF(IFERROR(INDEX(Spots!$K$2:$K$96,MATCH(A1431,Spots!$A$2:$A$96,0)),"")="","",IFERROR(INDEX(Spots!$K$2:$K$96,MATCH(A1431,Spots!$A$2:$A$96,0)),""))</f>
        <v/>
      </c>
      <c r="L1431" s="3">
        <f>IF(OR(K1431="",F1431=""),"",F1431/1000*K1431*100)</f>
        <v/>
      </c>
      <c r="M1431">
        <f>IF(OR(L1431="",L1431=0),"",ROUND(100/L1431,0))</f>
        <v/>
      </c>
      <c r="N1431" t="inlineStr"/>
    </row>
    <row r="1432">
      <c r="A1432" t="n">
        <v>151</v>
      </c>
      <c r="B1432" t="inlineStr">
        <is>
          <t>[Dehkia] Cyclops Land</t>
        </is>
      </c>
      <c r="C1432" t="inlineStr">
        <is>
          <t>Imperfect Lightstone of Earth</t>
        </is>
      </c>
      <c r="D1432" t="n">
        <v>0.08491116999999999</v>
      </c>
      <c r="E1432" t="n">
        <v>5008.5</v>
      </c>
      <c r="F1432" s="3" t="n">
        <v>0.01695341319756414</v>
      </c>
      <c r="G1432" t="n">
        <v>58985</v>
      </c>
      <c r="H1432" s="3" t="n">
        <v>0.009415833240824338</v>
      </c>
      <c r="I1432" s="3" t="n">
        <v>0.02810641825617068</v>
      </c>
      <c r="J1432" t="n">
        <v>14.7</v>
      </c>
      <c r="K1432">
        <f>IF(IFERROR(INDEX(Spots!$K$2:$K$96,MATCH(A1432,Spots!$A$2:$A$96,0)),"")="","",IFERROR(INDEX(Spots!$K$2:$K$96,MATCH(A1432,Spots!$A$2:$A$96,0)),""))</f>
        <v/>
      </c>
      <c r="L1432" s="3">
        <f>IF(OR(K1432="",F1432=""),"",F1432/1000*K1432*100)</f>
        <v/>
      </c>
      <c r="M1432">
        <f>IF(OR(L1432="",L1432=0),"",ROUND(100/L1432,0))</f>
        <v/>
      </c>
      <c r="N1432" t="inlineStr">
        <is>
          <t>low sample</t>
        </is>
      </c>
    </row>
    <row r="1433">
      <c r="A1433" t="n">
        <v>151</v>
      </c>
      <c r="B1433" t="inlineStr">
        <is>
          <t>[Dehkia] Cyclops Land</t>
        </is>
      </c>
      <c r="C1433" t="inlineStr">
        <is>
          <t>Imperfect Lightstone of Wind</t>
        </is>
      </c>
      <c r="D1433" t="n">
        <v>0.04933871</v>
      </c>
      <c r="E1433" t="n">
        <v>5008.5</v>
      </c>
      <c r="F1433" s="3" t="n">
        <v>0.009850995307976441</v>
      </c>
      <c r="G1433" t="n">
        <v>101513</v>
      </c>
      <c r="H1433" s="3" t="n">
        <v>0.004382354180260875</v>
      </c>
      <c r="I1433" s="3" t="n">
        <v>0.01901190910759951</v>
      </c>
      <c r="J1433" t="n">
        <v>8.5</v>
      </c>
      <c r="K1433">
        <f>IF(IFERROR(INDEX(Spots!$K$2:$K$96,MATCH(A1433,Spots!$A$2:$A$96,0)),"")="","",IFERROR(INDEX(Spots!$K$2:$K$96,MATCH(A1433,Spots!$A$2:$A$96,0)),""))</f>
        <v/>
      </c>
      <c r="L1433" s="3">
        <f>IF(OR(K1433="",F1433=""),"",F1433/1000*K1433*100)</f>
        <v/>
      </c>
      <c r="M1433">
        <f>IF(OR(L1433="",L1433=0),"",ROUND(100/L1433,0))</f>
        <v/>
      </c>
      <c r="N1433" t="inlineStr">
        <is>
          <t>low sample</t>
        </is>
      </c>
    </row>
    <row r="1434">
      <c r="A1434" t="n">
        <v>151</v>
      </c>
      <c r="B1434" t="inlineStr">
        <is>
          <t>[Dehkia] Cyclops Land</t>
        </is>
      </c>
      <c r="C1434" t="inlineStr">
        <is>
          <t>Forgotten Limbo Box</t>
        </is>
      </c>
      <c r="D1434" t="n">
        <v>0.02659427</v>
      </c>
      <c r="E1434" t="n">
        <v>5008.5</v>
      </c>
      <c r="F1434" s="3" t="n">
        <v>0.005309827293600878</v>
      </c>
      <c r="G1434" t="n">
        <v>188330</v>
      </c>
      <c r="H1434" s="3" t="n">
        <v>0.001606257500628135</v>
      </c>
      <c r="I1434" s="3" t="n">
        <v>0.01281342752079225</v>
      </c>
      <c r="J1434" t="n">
        <v>4.6</v>
      </c>
      <c r="K1434">
        <f>IF(IFERROR(INDEX(Spots!$K$2:$K$96,MATCH(A1434,Spots!$A$2:$A$96,0)),"")="","",IFERROR(INDEX(Spots!$K$2:$K$96,MATCH(A1434,Spots!$A$2:$A$96,0)),""))</f>
        <v/>
      </c>
      <c r="L1434" s="3">
        <f>IF(OR(K1434="",F1434=""),"",F1434/1000*K1434*100)</f>
        <v/>
      </c>
      <c r="M1434">
        <f>IF(OR(L1434="",L1434=0),"",ROUND(100/L1434,0))</f>
        <v/>
      </c>
      <c r="N1434" t="inlineStr">
        <is>
          <t>low sample</t>
        </is>
      </c>
    </row>
    <row r="1435">
      <c r="A1435" t="n">
        <v>198</v>
      </c>
      <c r="B1435" t="inlineStr">
        <is>
          <t>[Dehkia] Gyfin Rhasia Temple (Upper)</t>
        </is>
      </c>
      <c r="C1435" t="inlineStr">
        <is>
          <t>Ancient Spirit Dust</t>
        </is>
      </c>
      <c r="D1435" t="n">
        <v>20.568</v>
      </c>
      <c r="E1435" t="n">
        <v>5829.1</v>
      </c>
      <c r="F1435" s="3" t="n">
        <v>3.528503542570894</v>
      </c>
      <c r="G1435" t="n">
        <v>283</v>
      </c>
      <c r="H1435" s="3" t="n">
        <v>3.491321787644465</v>
      </c>
      <c r="I1435" s="3" t="n">
        <v>3.565982583332882</v>
      </c>
      <c r="J1435" t="n">
        <v>34416.4</v>
      </c>
      <c r="K1435">
        <f>IF(IFERROR(INDEX(Spots!$K$2:$K$96,MATCH(A1435,Spots!$A$2:$A$96,0)),"")="","",IFERROR(INDEX(Spots!$K$2:$K$96,MATCH(A1435,Spots!$A$2:$A$96,0)),""))</f>
        <v/>
      </c>
      <c r="L1435" s="3">
        <f>IF(OR(K1435="",F1435=""),"",F1435/1000*K1435*100)</f>
        <v/>
      </c>
      <c r="M1435">
        <f>IF(OR(L1435="",L1435=0),"",ROUND(100/L1435,0))</f>
        <v/>
      </c>
      <c r="N1435" t="inlineStr"/>
    </row>
    <row r="1436">
      <c r="A1436" t="n">
        <v>198</v>
      </c>
      <c r="B1436" t="inlineStr">
        <is>
          <t>[Dehkia] Gyfin Rhasia Temple (Upper)</t>
        </is>
      </c>
      <c r="C1436" t="inlineStr">
        <is>
          <t>Black Stone</t>
        </is>
      </c>
      <c r="D1436" t="n">
        <v>14.379</v>
      </c>
      <c r="E1436" t="n">
        <v>5829.1</v>
      </c>
      <c r="F1436" s="3" t="n">
        <v>2.466761592698701</v>
      </c>
      <c r="G1436" t="n">
        <v>405</v>
      </c>
      <c r="H1436" s="3" t="n">
        <v>2.435689150884243</v>
      </c>
      <c r="I1436" s="3" t="n">
        <v>2.498131426228651</v>
      </c>
      <c r="J1436" t="n">
        <v>24060.4</v>
      </c>
      <c r="K1436">
        <f>IF(IFERROR(INDEX(Spots!$K$2:$K$96,MATCH(A1436,Spots!$A$2:$A$96,0)),"")="","",IFERROR(INDEX(Spots!$K$2:$K$96,MATCH(A1436,Spots!$A$2:$A$96,0)),""))</f>
        <v/>
      </c>
      <c r="L1436" s="3">
        <f>IF(OR(K1436="",F1436=""),"",F1436/1000*K1436*100)</f>
        <v/>
      </c>
      <c r="M1436">
        <f>IF(OR(L1436="",L1436=0),"",ROUND(100/L1436,0))</f>
        <v/>
      </c>
      <c r="N1436" t="inlineStr"/>
    </row>
    <row r="1437">
      <c r="A1437" t="n">
        <v>198</v>
      </c>
      <c r="B1437" t="inlineStr">
        <is>
          <t>[Dehkia] Gyfin Rhasia Temple (Upper)</t>
        </is>
      </c>
      <c r="C1437" t="inlineStr">
        <is>
          <t>Caphras Stone</t>
        </is>
      </c>
      <c r="D1437" t="n">
        <v>7.485057</v>
      </c>
      <c r="E1437" t="n">
        <v>5829.1</v>
      </c>
      <c r="F1437" s="3" t="n">
        <v>1.284084507042254</v>
      </c>
      <c r="G1437" t="n">
        <v>779</v>
      </c>
      <c r="H1437" s="3" t="n">
        <v>1.261693015467028</v>
      </c>
      <c r="I1437" s="3" t="n">
        <v>1.306773639533623</v>
      </c>
      <c r="J1437" t="n">
        <v>12524.7</v>
      </c>
      <c r="K1437">
        <f>IF(IFERROR(INDEX(Spots!$K$2:$K$96,MATCH(A1437,Spots!$A$2:$A$96,0)),"")="","",IFERROR(INDEX(Spots!$K$2:$K$96,MATCH(A1437,Spots!$A$2:$A$96,0)),""))</f>
        <v/>
      </c>
      <c r="L1437" s="3">
        <f>IF(OR(K1437="",F1437=""),"",F1437/1000*K1437*100)</f>
        <v/>
      </c>
      <c r="M1437">
        <f>IF(OR(L1437="",L1437=0),"",ROUND(100/L1437,0))</f>
        <v/>
      </c>
      <c r="N1437" t="inlineStr"/>
    </row>
    <row r="1438">
      <c r="A1438" t="n">
        <v>198</v>
      </c>
      <c r="B1438" t="inlineStr">
        <is>
          <t>[Dehkia] Gyfin Rhasia Temple (Upper)</t>
        </is>
      </c>
      <c r="C1438" t="inlineStr">
        <is>
          <t>Trace of Nature</t>
        </is>
      </c>
      <c r="D1438" t="n">
        <v>3.693941</v>
      </c>
      <c r="E1438" t="n">
        <v>5829.1</v>
      </c>
      <c r="F1438" s="3" t="n">
        <v>0.6337069187353107</v>
      </c>
      <c r="G1438" t="n">
        <v>1578</v>
      </c>
      <c r="H1438" s="3" t="n">
        <v>0.6180058488824012</v>
      </c>
      <c r="I1438" s="3" t="n">
        <v>0.6497060079055325</v>
      </c>
      <c r="J1438" t="n">
        <v>6181.1</v>
      </c>
      <c r="K1438">
        <f>IF(IFERROR(INDEX(Spots!$K$2:$K$96,MATCH(A1438,Spots!$A$2:$A$96,0)),"")="","",IFERROR(INDEX(Spots!$K$2:$K$96,MATCH(A1438,Spots!$A$2:$A$96,0)),""))</f>
        <v/>
      </c>
      <c r="L1438" s="3">
        <f>IF(OR(K1438="",F1438=""),"",F1438/1000*K1438*100)</f>
        <v/>
      </c>
      <c r="M1438">
        <f>IF(OR(L1438="",L1438=0),"",ROUND(100/L1438,0))</f>
        <v/>
      </c>
      <c r="N1438" t="inlineStr"/>
    </row>
    <row r="1439">
      <c r="A1439" t="n">
        <v>198</v>
      </c>
      <c r="B1439" t="inlineStr">
        <is>
          <t>[Dehkia] Gyfin Rhasia Temple (Upper)</t>
        </is>
      </c>
      <c r="C1439" t="inlineStr">
        <is>
          <t>Manshaum Voodoo Doll</t>
        </is>
      </c>
      <c r="D1439" t="n">
        <v>2.2308</v>
      </c>
      <c r="E1439" t="n">
        <v>5829.1</v>
      </c>
      <c r="F1439" s="3" t="n">
        <v>0.3827005884270299</v>
      </c>
      <c r="G1439" t="n">
        <v>2613</v>
      </c>
      <c r="H1439" s="3" t="n">
        <v>0.3705207972341969</v>
      </c>
      <c r="I1439" s="3" t="n">
        <v>0.3951787631419511</v>
      </c>
      <c r="J1439" t="n">
        <v>3732.8</v>
      </c>
      <c r="K1439">
        <f>IF(IFERROR(INDEX(Spots!$K$2:$K$96,MATCH(A1439,Spots!$A$2:$A$96,0)),"")="","",IFERROR(INDEX(Spots!$K$2:$K$96,MATCH(A1439,Spots!$A$2:$A$96,0)),""))</f>
        <v/>
      </c>
      <c r="L1439" s="3">
        <f>IF(OR(K1439="",F1439=""),"",F1439/1000*K1439*100)</f>
        <v/>
      </c>
      <c r="M1439">
        <f>IF(OR(L1439="",L1439=0),"",ROUND(100/L1439,0))</f>
        <v/>
      </c>
      <c r="N1439" t="inlineStr"/>
    </row>
    <row r="1440">
      <c r="A1440" t="n">
        <v>198</v>
      </c>
      <c r="B1440" t="inlineStr">
        <is>
          <t>[Dehkia] Gyfin Rhasia Temple (Upper)</t>
        </is>
      </c>
      <c r="C1440" t="inlineStr">
        <is>
          <t>Rumbling Earth Shard</t>
        </is>
      </c>
      <c r="D1440" t="n">
        <v>2.023816</v>
      </c>
      <c r="E1440" t="n">
        <v>5829.1</v>
      </c>
      <c r="F1440" s="3" t="n">
        <v>0.3471918477981163</v>
      </c>
      <c r="G1440" t="n">
        <v>2880</v>
      </c>
      <c r="H1440" s="3" t="n">
        <v>0.3355954982087643</v>
      </c>
      <c r="I1440" s="3" t="n">
        <v>0.3590866623547084</v>
      </c>
      <c r="J1440" t="n">
        <v>3386.5</v>
      </c>
      <c r="K1440">
        <f>IF(IFERROR(INDEX(Spots!$K$2:$K$96,MATCH(A1440,Spots!$A$2:$A$96,0)),"")="","",IFERROR(INDEX(Spots!$K$2:$K$96,MATCH(A1440,Spots!$A$2:$A$96,0)),""))</f>
        <v/>
      </c>
      <c r="L1440" s="3">
        <f>IF(OR(K1440="",F1440=""),"",F1440/1000*K1440*100)</f>
        <v/>
      </c>
      <c r="M1440">
        <f>IF(OR(L1440="",L1440=0),"",ROUND(100/L1440,0))</f>
        <v/>
      </c>
      <c r="N1440" t="inlineStr"/>
    </row>
    <row r="1441">
      <c r="A1441" t="n">
        <v>198</v>
      </c>
      <c r="B1441" t="inlineStr">
        <is>
          <t>[Dehkia] Gyfin Rhasia Temple (Upper)</t>
        </is>
      </c>
      <c r="C1441" t="inlineStr">
        <is>
          <t>Swaying Wind Shard</t>
        </is>
      </c>
      <c r="D1441" t="n">
        <v>1.993079</v>
      </c>
      <c r="E1441" t="n">
        <v>5829.1</v>
      </c>
      <c r="F1441" s="3" t="n">
        <v>0.3419188210873033</v>
      </c>
      <c r="G1441" t="n">
        <v>2925</v>
      </c>
      <c r="H1441" s="3" t="n">
        <v>0.330411613455708</v>
      </c>
      <c r="I1441" s="3" t="n">
        <v>0.3537245068482288</v>
      </c>
      <c r="J1441" t="n">
        <v>3335</v>
      </c>
      <c r="K1441">
        <f>IF(IFERROR(INDEX(Spots!$K$2:$K$96,MATCH(A1441,Spots!$A$2:$A$96,0)),"")="","",IFERROR(INDEX(Spots!$K$2:$K$96,MATCH(A1441,Spots!$A$2:$A$96,0)),""))</f>
        <v/>
      </c>
      <c r="L1441" s="3">
        <f>IF(OR(K1441="",F1441=""),"",F1441/1000*K1441*100)</f>
        <v/>
      </c>
      <c r="M1441">
        <f>IF(OR(L1441="",L1441=0),"",ROUND(100/L1441,0))</f>
        <v/>
      </c>
      <c r="N1441" t="inlineStr"/>
    </row>
    <row r="1442">
      <c r="A1442" t="n">
        <v>198</v>
      </c>
      <c r="B1442" t="inlineStr">
        <is>
          <t>[Dehkia] Gyfin Rhasia Temple (Upper)</t>
        </is>
      </c>
      <c r="C1442" t="inlineStr">
        <is>
          <t>Void Tainted Whispers</t>
        </is>
      </c>
      <c r="D1442" t="n">
        <v>1.76084</v>
      </c>
      <c r="E1442" t="n">
        <v>5829.1</v>
      </c>
      <c r="F1442" s="3" t="n">
        <v>0.3020775076769999</v>
      </c>
      <c r="G1442" t="n">
        <v>3310</v>
      </c>
      <c r="H1442" s="3" t="n">
        <v>0.2912673505541544</v>
      </c>
      <c r="I1442" s="3" t="n">
        <v>0.3131862532380836</v>
      </c>
      <c r="J1442" t="n">
        <v>2946.4</v>
      </c>
      <c r="K1442">
        <f>IF(IFERROR(INDEX(Spots!$K$2:$K$96,MATCH(A1442,Spots!$A$2:$A$96,0)),"")="","",IFERROR(INDEX(Spots!$K$2:$K$96,MATCH(A1442,Spots!$A$2:$A$96,0)),""))</f>
        <v/>
      </c>
      <c r="L1442" s="3">
        <f>IF(OR(K1442="",F1442=""),"",F1442/1000*K1442*100)</f>
        <v/>
      </c>
      <c r="M1442">
        <f>IF(OR(L1442="",L1442=0),"",ROUND(100/L1442,0))</f>
        <v/>
      </c>
      <c r="N1442" t="inlineStr"/>
    </row>
    <row r="1443">
      <c r="A1443" t="n">
        <v>198</v>
      </c>
      <c r="B1443" t="inlineStr">
        <is>
          <t>[Dehkia] Gyfin Rhasia Temple (Upper)</t>
        </is>
      </c>
      <c r="C1443" t="inlineStr">
        <is>
          <t>Forest Fury</t>
        </is>
      </c>
      <c r="D1443" t="n">
        <v>0.66806876</v>
      </c>
      <c r="E1443" t="n">
        <v>5829.1</v>
      </c>
      <c r="F1443" s="3" t="n">
        <v>0.1146092467104699</v>
      </c>
      <c r="G1443" t="n">
        <v>8725</v>
      </c>
      <c r="H1443" s="3" t="n">
        <v>0.1079882363967123</v>
      </c>
      <c r="I1443" s="3" t="n">
        <v>0.1215299872106547</v>
      </c>
      <c r="J1443" t="n">
        <v>1117.9</v>
      </c>
      <c r="K1443">
        <f>IF(IFERROR(INDEX(Spots!$K$2:$K$96,MATCH(A1443,Spots!$A$2:$A$96,0)),"")="","",IFERROR(INDEX(Spots!$K$2:$K$96,MATCH(A1443,Spots!$A$2:$A$96,0)),""))</f>
        <v/>
      </c>
      <c r="L1443" s="3">
        <f>IF(OR(K1443="",F1443=""),"",F1443/1000*K1443*100)</f>
        <v/>
      </c>
      <c r="M1443">
        <f>IF(OR(L1443="",L1443=0),"",ROUND(100/L1443,0))</f>
        <v/>
      </c>
      <c r="N1443" t="inlineStr"/>
    </row>
    <row r="1444">
      <c r="A1444" t="n">
        <v>198</v>
      </c>
      <c r="B1444" t="inlineStr">
        <is>
          <t>[Dehkia] Gyfin Rhasia Temple (Upper)</t>
        </is>
      </c>
      <c r="C1444" t="inlineStr">
        <is>
          <t>Life Spirit Stone</t>
        </is>
      </c>
      <c r="D1444" t="n">
        <v>0.30116256</v>
      </c>
      <c r="E1444" t="n">
        <v>5829.1</v>
      </c>
      <c r="F1444" s="3" t="n">
        <v>0.05166536171964797</v>
      </c>
      <c r="G1444" t="n">
        <v>19355</v>
      </c>
      <c r="H1444" s="3" t="n">
        <v>0.04725221479429752</v>
      </c>
      <c r="I1444" s="3" t="n">
        <v>0.05637968495665181</v>
      </c>
      <c r="J1444" t="n">
        <v>503.9</v>
      </c>
      <c r="K1444">
        <f>IF(IFERROR(INDEX(Spots!$K$2:$K$96,MATCH(A1444,Spots!$A$2:$A$96,0)),"")="","",IFERROR(INDEX(Spots!$K$2:$K$96,MATCH(A1444,Spots!$A$2:$A$96,0)),""))</f>
        <v/>
      </c>
      <c r="L1444" s="3">
        <f>IF(OR(K1444="",F1444=""),"",F1444/1000*K1444*100)</f>
        <v/>
      </c>
      <c r="M1444">
        <f>IF(OR(L1444="",L1444=0),"",ROUND(100/L1444,0))</f>
        <v/>
      </c>
      <c r="N1444" t="inlineStr"/>
    </row>
    <row r="1445">
      <c r="A1445" t="n">
        <v>198</v>
      </c>
      <c r="B1445" t="inlineStr">
        <is>
          <t>[Dehkia] Gyfin Rhasia Temple (Upper)</t>
        </is>
      </c>
      <c r="C1445" t="inlineStr">
        <is>
          <t>Guardian Spirit Stone</t>
        </is>
      </c>
      <c r="D1445" t="n">
        <v>0.29874379</v>
      </c>
      <c r="E1445" t="n">
        <v>5829.1</v>
      </c>
      <c r="F1445" s="3" t="n">
        <v>0.05125041430066391</v>
      </c>
      <c r="G1445" t="n">
        <v>19512</v>
      </c>
      <c r="H1445" s="3" t="n">
        <v>0.0468554213340334</v>
      </c>
      <c r="I1445" s="3" t="n">
        <v>0.05594660129678913</v>
      </c>
      <c r="J1445" t="n">
        <v>499.9</v>
      </c>
      <c r="K1445">
        <f>IF(IFERROR(INDEX(Spots!$K$2:$K$96,MATCH(A1445,Spots!$A$2:$A$96,0)),"")="","",IFERROR(INDEX(Spots!$K$2:$K$96,MATCH(A1445,Spots!$A$2:$A$96,0)),""))</f>
        <v/>
      </c>
      <c r="L1445" s="3">
        <f>IF(OR(K1445="",F1445=""),"",F1445/1000*K1445*100)</f>
        <v/>
      </c>
      <c r="M1445">
        <f>IF(OR(L1445="",L1445=0),"",ROUND(100/L1445,0))</f>
        <v/>
      </c>
      <c r="N1445" t="inlineStr"/>
    </row>
    <row r="1446">
      <c r="A1446" t="n">
        <v>198</v>
      </c>
      <c r="B1446" t="inlineStr">
        <is>
          <t>[Dehkia] Gyfin Rhasia Temple (Upper)</t>
        </is>
      </c>
      <c r="C1446" t="inlineStr">
        <is>
          <t>Destruction Spirit Stone</t>
        </is>
      </c>
      <c r="D1446" t="n">
        <v>0.28475541</v>
      </c>
      <c r="E1446" t="n">
        <v>5829.1</v>
      </c>
      <c r="F1446" s="3" t="n">
        <v>0.04885066476814602</v>
      </c>
      <c r="G1446" t="n">
        <v>20471</v>
      </c>
      <c r="H1446" s="3" t="n">
        <v>0.04456213460423775</v>
      </c>
      <c r="I1446" s="3" t="n">
        <v>0.05344049578520407</v>
      </c>
      <c r="J1446" t="n">
        <v>476.5</v>
      </c>
      <c r="K1446">
        <f>IF(IFERROR(INDEX(Spots!$K$2:$K$96,MATCH(A1446,Spots!$A$2:$A$96,0)),"")="","",IFERROR(INDEX(Spots!$K$2:$K$96,MATCH(A1446,Spots!$A$2:$A$96,0)),""))</f>
        <v/>
      </c>
      <c r="L1446" s="3">
        <f>IF(OR(K1446="",F1446=""),"",F1446/1000*K1446*100)</f>
        <v/>
      </c>
      <c r="M1446">
        <f>IF(OR(L1446="",L1446=0),"",ROUND(100/L1446,0))</f>
        <v/>
      </c>
      <c r="N1446" t="inlineStr"/>
    </row>
    <row r="1447">
      <c r="A1447" t="n">
        <v>198</v>
      </c>
      <c r="B1447" t="inlineStr">
        <is>
          <t>[Dehkia] Gyfin Rhasia Temple (Upper)</t>
        </is>
      </c>
      <c r="C1447" t="inlineStr">
        <is>
          <t>Dehkia's Fragment</t>
        </is>
      </c>
      <c r="D1447" t="n">
        <v>0.26637778</v>
      </c>
      <c r="E1447" t="n">
        <v>5829.1</v>
      </c>
      <c r="F1447" s="3" t="n">
        <v>0.0456979259233844</v>
      </c>
      <c r="G1447" t="n">
        <v>21883</v>
      </c>
      <c r="H1447" s="3" t="n">
        <v>0.04155332359933414</v>
      </c>
      <c r="I1447" s="3" t="n">
        <v>0.050143981939412</v>
      </c>
      <c r="J1447" t="n">
        <v>445.7</v>
      </c>
      <c r="K1447">
        <f>IF(IFERROR(INDEX(Spots!$K$2:$K$96,MATCH(A1447,Spots!$A$2:$A$96,0)),"")="","",IFERROR(INDEX(Spots!$K$2:$K$96,MATCH(A1447,Spots!$A$2:$A$96,0)),""))</f>
        <v/>
      </c>
      <c r="L1447" s="3">
        <f>IF(OR(K1447="",F1447=""),"",F1447/1000*K1447*100)</f>
        <v/>
      </c>
      <c r="M1447">
        <f>IF(OR(L1447="",L1447=0),"",ROUND(100/L1447,0))</f>
        <v/>
      </c>
      <c r="N1447" t="inlineStr"/>
    </row>
    <row r="1448">
      <c r="A1448" t="n">
        <v>198</v>
      </c>
      <c r="B1448" t="inlineStr">
        <is>
          <t>[Dehkia] Gyfin Rhasia Temple (Upper)</t>
        </is>
      </c>
      <c r="C1448" t="inlineStr">
        <is>
          <t>Krogdalo's Origin Stone</t>
        </is>
      </c>
      <c r="D1448" t="n">
        <v>0.23402817</v>
      </c>
      <c r="E1448" t="n">
        <v>5829.1</v>
      </c>
      <c r="F1448" s="3" t="n">
        <v>0.04014825101645194</v>
      </c>
      <c r="G1448" t="n">
        <v>24908</v>
      </c>
      <c r="H1448" s="3" t="n">
        <v>0.03626963865335568</v>
      </c>
      <c r="I1448" s="3" t="n">
        <v>0.04432862827950679</v>
      </c>
      <c r="J1448" t="n">
        <v>391.6</v>
      </c>
      <c r="K1448">
        <f>IF(IFERROR(INDEX(Spots!$K$2:$K$96,MATCH(A1448,Spots!$A$2:$A$96,0)),"")="","",IFERROR(INDEX(Spots!$K$2:$K$96,MATCH(A1448,Spots!$A$2:$A$96,0)),""))</f>
        <v/>
      </c>
      <c r="L1448" s="3">
        <f>IF(OR(K1448="",F1448=""),"",F1448/1000*K1448*100)</f>
        <v/>
      </c>
      <c r="M1448">
        <f>IF(OR(L1448="",L1448=0),"",ROUND(100/L1448,0))</f>
        <v/>
      </c>
      <c r="N1448" t="inlineStr"/>
    </row>
    <row r="1449">
      <c r="A1449" t="n">
        <v>198</v>
      </c>
      <c r="B1449" t="inlineStr">
        <is>
          <t>[Dehkia] Gyfin Rhasia Temple (Upper)</t>
        </is>
      </c>
      <c r="C1449" t="inlineStr">
        <is>
          <t>Deboreka Belt</t>
        </is>
      </c>
      <c r="D1449" t="n">
        <v>0.18643463</v>
      </c>
      <c r="E1449" t="n">
        <v>5829.1</v>
      </c>
      <c r="F1449" s="3" t="n">
        <v>0.03198343312003568</v>
      </c>
      <c r="G1449" t="n">
        <v>31266</v>
      </c>
      <c r="H1449" s="3" t="n">
        <v>0.0285322141924288</v>
      </c>
      <c r="I1449" s="3" t="n">
        <v>0.03573701329566487</v>
      </c>
      <c r="J1449" t="n">
        <v>312</v>
      </c>
      <c r="K1449">
        <f>IF(IFERROR(INDEX(Spots!$K$2:$K$96,MATCH(A1449,Spots!$A$2:$A$96,0)),"")="","",IFERROR(INDEX(Spots!$K$2:$K$96,MATCH(A1449,Spots!$A$2:$A$96,0)),""))</f>
        <v/>
      </c>
      <c r="L1449" s="3">
        <f>IF(OR(K1449="",F1449=""),"",F1449/1000*K1449*100)</f>
        <v/>
      </c>
      <c r="M1449">
        <f>IF(OR(L1449="",L1449=0),"",ROUND(100/L1449,0))</f>
        <v/>
      </c>
      <c r="N1449" t="inlineStr"/>
    </row>
    <row r="1450">
      <c r="A1450" t="n">
        <v>198</v>
      </c>
      <c r="B1450" t="inlineStr">
        <is>
          <t>[Dehkia] Gyfin Rhasia Temple (Upper)</t>
        </is>
      </c>
      <c r="C1450" t="inlineStr">
        <is>
          <t>Tungrad Belt</t>
        </is>
      </c>
      <c r="D1450" t="n">
        <v>0.06364264</v>
      </c>
      <c r="E1450" t="n">
        <v>5829.1</v>
      </c>
      <c r="F1450" s="3" t="n">
        <v>0.0109180902712254</v>
      </c>
      <c r="G1450" t="n">
        <v>91591</v>
      </c>
      <c r="H1450" s="3" t="n">
        <v>0.008942973791719246</v>
      </c>
      <c r="I1450" s="3" t="n">
        <v>0.01319947058694272</v>
      </c>
      <c r="J1450" t="n">
        <v>106.5</v>
      </c>
      <c r="K1450">
        <f>IF(IFERROR(INDEX(Spots!$K$2:$K$96,MATCH(A1450,Spots!$A$2:$A$96,0)),"")="","",IFERROR(INDEX(Spots!$K$2:$K$96,MATCH(A1450,Spots!$A$2:$A$96,0)),""))</f>
        <v/>
      </c>
      <c r="L1450" s="3">
        <f>IF(OR(K1450="",F1450=""),"",F1450/1000*K1450*100)</f>
        <v/>
      </c>
      <c r="M1450">
        <f>IF(OR(L1450="",L1450=0),"",ROUND(100/L1450,0))</f>
        <v/>
      </c>
      <c r="N1450" t="inlineStr"/>
    </row>
    <row r="1451">
      <c r="A1451" t="n">
        <v>198</v>
      </c>
      <c r="B1451" t="inlineStr">
        <is>
          <t>[Dehkia] Gyfin Rhasia Temple (Upper)</t>
        </is>
      </c>
      <c r="C1451" t="inlineStr">
        <is>
          <t>Crystal of Stalwart Fortitude</t>
        </is>
      </c>
      <c r="D1451" t="n">
        <v>0.0282261</v>
      </c>
      <c r="E1451" t="n">
        <v>5829.1</v>
      </c>
      <c r="F1451" s="3" t="n">
        <v>0.004842274107495153</v>
      </c>
      <c r="G1451" t="n">
        <v>206515</v>
      </c>
      <c r="H1451" s="3" t="n">
        <v>0.003560487753600917</v>
      </c>
      <c r="I1451" s="3" t="n">
        <v>0.00643492028955798</v>
      </c>
      <c r="J1451" t="n">
        <v>47.2</v>
      </c>
      <c r="K1451">
        <f>IF(IFERROR(INDEX(Spots!$K$2:$K$96,MATCH(A1451,Spots!$A$2:$A$96,0)),"")="","",IFERROR(INDEX(Spots!$K$2:$K$96,MATCH(A1451,Spots!$A$2:$A$96,0)),""))</f>
        <v/>
      </c>
      <c r="L1451" s="3">
        <f>IF(OR(K1451="",F1451=""),"",F1451/1000*K1451*100)</f>
        <v/>
      </c>
      <c r="M1451">
        <f>IF(OR(L1451="",L1451=0),"",ROUND(100/L1451,0))</f>
        <v/>
      </c>
      <c r="N1451" t="inlineStr"/>
    </row>
    <row r="1452">
      <c r="A1452" t="n">
        <v>198</v>
      </c>
      <c r="B1452" t="inlineStr">
        <is>
          <t>[Dehkia] Gyfin Rhasia Temple (Upper)</t>
        </is>
      </c>
      <c r="C1452" t="inlineStr">
        <is>
          <t>Crystal of Unyielding Spirit</t>
        </is>
      </c>
      <c r="D1452" t="n">
        <v>0.01018836</v>
      </c>
      <c r="E1452" t="n">
        <v>5829.1</v>
      </c>
      <c r="F1452" s="3" t="n">
        <v>0.001747844435676176</v>
      </c>
      <c r="G1452" t="n">
        <v>572133</v>
      </c>
      <c r="H1452" s="3" t="n">
        <v>0.001018479336105931</v>
      </c>
      <c r="I1452" s="3" t="n">
        <v>0.002796816321670973</v>
      </c>
      <c r="J1452" t="n">
        <v>17</v>
      </c>
      <c r="K1452">
        <f>IF(IFERROR(INDEX(Spots!$K$2:$K$96,MATCH(A1452,Spots!$A$2:$A$96,0)),"")="","",IFERROR(INDEX(Spots!$K$2:$K$96,MATCH(A1452,Spots!$A$2:$A$96,0)),""))</f>
        <v/>
      </c>
      <c r="L1452" s="3">
        <f>IF(OR(K1452="",F1452=""),"",F1452/1000*K1452*100)</f>
        <v/>
      </c>
      <c r="M1452">
        <f>IF(OR(L1452="",L1452=0),"",ROUND(100/L1452,0))</f>
        <v/>
      </c>
      <c r="N1452" t="inlineStr">
        <is>
          <t>low sample</t>
        </is>
      </c>
    </row>
    <row r="1453">
      <c r="A1453" t="n">
        <v>198</v>
      </c>
      <c r="B1453" t="inlineStr">
        <is>
          <t>[Dehkia] Gyfin Rhasia Temple (Upper)</t>
        </is>
      </c>
      <c r="C1453" t="inlineStr">
        <is>
          <t>Crystal of Dogged Patience</t>
        </is>
      </c>
      <c r="D1453" t="n">
        <v>0.008322700000000001</v>
      </c>
      <c r="E1453" t="n">
        <v>5829.1</v>
      </c>
      <c r="F1453" s="3" t="n">
        <v>0.001427784735207837</v>
      </c>
      <c r="G1453" t="n">
        <v>700386</v>
      </c>
      <c r="H1453" s="3" t="n">
        <v>0.0007784827638929808</v>
      </c>
      <c r="I1453" s="3" t="n">
        <v>0.002398931332989626</v>
      </c>
      <c r="J1453" t="n">
        <v>13.9</v>
      </c>
      <c r="K1453">
        <f>IF(IFERROR(INDEX(Spots!$K$2:$K$96,MATCH(A1453,Spots!$A$2:$A$96,0)),"")="","",IFERROR(INDEX(Spots!$K$2:$K$96,MATCH(A1453,Spots!$A$2:$A$96,0)),""))</f>
        <v/>
      </c>
      <c r="L1453" s="3">
        <f>IF(OR(K1453="",F1453=""),"",F1453/1000*K1453*100)</f>
        <v/>
      </c>
      <c r="M1453">
        <f>IF(OR(L1453="",L1453=0),"",ROUND(100/L1453,0))</f>
        <v/>
      </c>
      <c r="N1453" t="inlineStr">
        <is>
          <t>low sample</t>
        </is>
      </c>
    </row>
    <row r="1454">
      <c r="A1454" t="n">
        <v>198</v>
      </c>
      <c r="B1454" t="inlineStr">
        <is>
          <t>[Dehkia] Gyfin Rhasia Temple (Upper)</t>
        </is>
      </c>
      <c r="C1454" t="inlineStr">
        <is>
          <t>Forgotten Limbo Box</t>
        </is>
      </c>
      <c r="D1454" t="n">
        <v>0.00621044</v>
      </c>
      <c r="E1454" t="n">
        <v>5829.1</v>
      </c>
      <c r="F1454" s="3" t="n">
        <v>0.001065420047691753</v>
      </c>
      <c r="G1454" t="n">
        <v>938597</v>
      </c>
      <c r="H1454" s="3" t="n">
        <v>0.0005186180802874639</v>
      </c>
      <c r="I1454" s="3" t="n">
        <v>0.001937645021978054</v>
      </c>
      <c r="J1454" t="n">
        <v>10.4</v>
      </c>
      <c r="K1454">
        <f>IF(IFERROR(INDEX(Spots!$K$2:$K$96,MATCH(A1454,Spots!$A$2:$A$96,0)),"")="","",IFERROR(INDEX(Spots!$K$2:$K$96,MATCH(A1454,Spots!$A$2:$A$96,0)),""))</f>
        <v/>
      </c>
      <c r="L1454" s="3">
        <f>IF(OR(K1454="",F1454=""),"",F1454/1000*K1454*100)</f>
        <v/>
      </c>
      <c r="M1454">
        <f>IF(OR(L1454="",L1454=0),"",ROUND(100/L1454,0))</f>
        <v/>
      </c>
      <c r="N1454" t="inlineStr">
        <is>
          <t>low sample</t>
        </is>
      </c>
    </row>
    <row r="1455">
      <c r="A1455" t="n">
        <v>198</v>
      </c>
      <c r="B1455" t="inlineStr">
        <is>
          <t>[Dehkia] Gyfin Rhasia Temple (Upper)</t>
        </is>
      </c>
      <c r="C1455" t="inlineStr">
        <is>
          <t>Any Artifact</t>
        </is>
      </c>
      <c r="D1455" t="n">
        <v>0.00139864</v>
      </c>
      <c r="E1455" t="n">
        <v>5829.1</v>
      </c>
      <c r="F1455" s="3" t="n">
        <v>0.0002399409857439399</v>
      </c>
      <c r="G1455" t="n">
        <v>4167691</v>
      </c>
      <c r="H1455" s="3" t="n">
        <v>3.48110904144405e-05</v>
      </c>
      <c r="I1455" s="3" t="n">
        <v>0.0007952118923717018</v>
      </c>
      <c r="J1455" t="n">
        <v>2.3</v>
      </c>
      <c r="K1455">
        <f>IF(IFERROR(INDEX(Spots!$K$2:$K$96,MATCH(A1455,Spots!$A$2:$A$96,0)),"")="","",IFERROR(INDEX(Spots!$K$2:$K$96,MATCH(A1455,Spots!$A$2:$A$96,0)),""))</f>
        <v/>
      </c>
      <c r="L1455" s="3">
        <f>IF(OR(K1455="",F1455=""),"",F1455/1000*K1455*100)</f>
        <v/>
      </c>
      <c r="M1455">
        <f>IF(OR(L1455="",L1455=0),"",ROUND(100/L1455,0))</f>
        <v/>
      </c>
      <c r="N1455" t="inlineStr">
        <is>
          <t>low sample</t>
        </is>
      </c>
    </row>
    <row r="1456">
      <c r="A1456" t="n">
        <v>198</v>
      </c>
      <c r="B1456" t="inlineStr">
        <is>
          <t>[Dehkia] Gyfin Rhasia Temple (Upper)</t>
        </is>
      </c>
      <c r="C1456" t="inlineStr">
        <is>
          <t>Elkarr</t>
        </is>
      </c>
      <c r="D1456" t="n">
        <v>0.00049221</v>
      </c>
      <c r="E1456" t="n">
        <v>5829.1</v>
      </c>
      <c r="F1456" s="3" t="n">
        <v>8.444013655624366e-05</v>
      </c>
      <c r="G1456" t="n">
        <v>11842709</v>
      </c>
      <c r="H1456" s="3" t="n">
        <v>2.584530505975412e-07</v>
      </c>
      <c r="I1456" s="3" t="n">
        <v>0.0005385881669979637</v>
      </c>
      <c r="J1456" t="n">
        <v>0.8</v>
      </c>
      <c r="K1456">
        <f>IF(IFERROR(INDEX(Spots!$K$2:$K$96,MATCH(A1456,Spots!$A$2:$A$96,0)),"")="","",IFERROR(INDEX(Spots!$K$2:$K$96,MATCH(A1456,Spots!$A$2:$A$96,0)),""))</f>
        <v/>
      </c>
      <c r="L1456" s="3">
        <f>IF(OR(K1456="",F1456=""),"",F1456/1000*K1456*100)</f>
        <v/>
      </c>
      <c r="M1456">
        <f>IF(OR(L1456="",L1456=0),"",ROUND(100/L1456,0))</f>
        <v/>
      </c>
      <c r="N1456" t="inlineStr">
        <is>
          <t>low sample</t>
        </is>
      </c>
    </row>
    <row r="1457">
      <c r="A1457" t="n">
        <v>198</v>
      </c>
      <c r="B1457" t="inlineStr">
        <is>
          <t>[Dehkia] Gyfin Rhasia Temple (Upper)</t>
        </is>
      </c>
      <c r="C1457" t="inlineStr">
        <is>
          <t>Dehkia's Artifact - All Damage Reduction</t>
        </is>
      </c>
      <c r="D1457" t="n">
        <v>0.00041273</v>
      </c>
      <c r="E1457" t="n">
        <v>5829.1</v>
      </c>
      <c r="F1457" s="3" t="n">
        <v>7.080509855723867e-05</v>
      </c>
      <c r="G1457" t="n">
        <v>14123277</v>
      </c>
      <c r="H1457" s="3" t="n">
        <v>1.050970478356153e-08</v>
      </c>
      <c r="I1457" s="3" t="n">
        <v>0.0005140606086011711</v>
      </c>
      <c r="J1457" t="n">
        <v>0.7</v>
      </c>
      <c r="K1457">
        <f>IF(IFERROR(INDEX(Spots!$K$2:$K$96,MATCH(A1457,Spots!$A$2:$A$96,0)),"")="","",IFERROR(INDEX(Spots!$K$2:$K$96,MATCH(A1457,Spots!$A$2:$A$96,0)),""))</f>
        <v/>
      </c>
      <c r="L1457" s="3">
        <f>IF(OR(K1457="",F1457=""),"",F1457/1000*K1457*100)</f>
        <v/>
      </c>
      <c r="M1457">
        <f>IF(OR(L1457="",L1457=0),"",ROUND(100/L1457,0))</f>
        <v/>
      </c>
      <c r="N1457" t="inlineStr">
        <is>
          <t>low sample</t>
        </is>
      </c>
    </row>
    <row r="1458">
      <c r="A1458" t="n">
        <v>198</v>
      </c>
      <c r="B1458" t="inlineStr">
        <is>
          <t>[Dehkia] Gyfin Rhasia Temple (Upper)</t>
        </is>
      </c>
      <c r="C1458" t="inlineStr">
        <is>
          <t>Dehkia's Artifact - All Evasion</t>
        </is>
      </c>
      <c r="D1458" t="n">
        <v>0.00028139</v>
      </c>
      <c r="E1458" t="n">
        <v>5829.1</v>
      </c>
      <c r="F1458" s="3" t="n">
        <v>4.827331835103189e-05</v>
      </c>
      <c r="G1458" t="n">
        <v>20715377</v>
      </c>
      <c r="H1458" s="3" t="n">
        <v>0</v>
      </c>
      <c r="I1458" s="3" t="n">
        <v>0.0004723573303649511</v>
      </c>
      <c r="J1458" t="n">
        <v>0.5</v>
      </c>
      <c r="K1458">
        <f>IF(IFERROR(INDEX(Spots!$K$2:$K$96,MATCH(A1458,Spots!$A$2:$A$96,0)),"")="","",IFERROR(INDEX(Spots!$K$2:$K$96,MATCH(A1458,Spots!$A$2:$A$96,0)),""))</f>
        <v/>
      </c>
      <c r="L1458" s="3">
        <f>IF(OR(K1458="",F1458=""),"",F1458/1000*K1458*100)</f>
        <v/>
      </c>
      <c r="M1458">
        <f>IF(OR(L1458="",L1458=0),"",ROUND(100/L1458,0))</f>
        <v/>
      </c>
      <c r="N1458" t="inlineStr">
        <is>
          <t>low sample</t>
        </is>
      </c>
    </row>
    <row r="1459">
      <c r="A1459" t="n">
        <v>198</v>
      </c>
      <c r="B1459" t="inlineStr">
        <is>
          <t>[Dehkia] Gyfin Rhasia Temple (Upper)</t>
        </is>
      </c>
      <c r="C1459" t="inlineStr">
        <is>
          <t>Crystal of Precise Destruction</t>
        </is>
      </c>
      <c r="D1459" t="n">
        <v>0</v>
      </c>
      <c r="E1459" t="n">
        <v>5829.1</v>
      </c>
      <c r="F1459" s="3" t="n">
        <v>0</v>
      </c>
      <c r="H1459" s="3" t="n">
        <v>0</v>
      </c>
      <c r="I1459" s="3" t="n">
        <v>0.000378210288063543</v>
      </c>
      <c r="J1459" t="n">
        <v>0</v>
      </c>
      <c r="K1459">
        <f>IF(IFERROR(INDEX(Spots!$K$2:$K$96,MATCH(A1459,Spots!$A$2:$A$96,0)),"")="","",IFERROR(INDEX(Spots!$K$2:$K$96,MATCH(A1459,Spots!$A$2:$A$96,0)),""))</f>
        <v/>
      </c>
      <c r="L1459" s="3">
        <f>IF(OR(K1459="",F1459=""),"",F1459/1000*K1459*100)</f>
        <v/>
      </c>
      <c r="M1459">
        <f>IF(OR(L1459="",L1459=0),"",ROUND(100/L1459,0))</f>
        <v/>
      </c>
      <c r="N1459" t="inlineStr">
        <is>
          <t>no drops recorded</t>
        </is>
      </c>
    </row>
    <row r="1460">
      <c r="A1460" t="n">
        <v>156</v>
      </c>
      <c r="B1460" t="inlineStr">
        <is>
          <t>[Dehkia] Hystria Ruins</t>
        </is>
      </c>
      <c r="C1460" t="inlineStr">
        <is>
          <t>Ancient Spirit Dust</t>
        </is>
      </c>
      <c r="D1460" t="n">
        <v>26.61</v>
      </c>
      <c r="E1460" t="n">
        <v>8667.6</v>
      </c>
      <c r="F1460" s="3" t="n">
        <v>3.070053994185241</v>
      </c>
      <c r="G1460" t="n">
        <v>326</v>
      </c>
      <c r="H1460" s="3" t="n">
        <v>3.05687386053119</v>
      </c>
      <c r="I1460" s="3" t="n">
        <v>3.083276882493805</v>
      </c>
      <c r="J1460" t="n">
        <v>207990.4</v>
      </c>
      <c r="K1460">
        <f>IF(IFERROR(INDEX(Spots!$K$2:$K$96,MATCH(A1460,Spots!$A$2:$A$96,0)),"")="","",IFERROR(INDEX(Spots!$K$2:$K$96,MATCH(A1460,Spots!$A$2:$A$96,0)),""))</f>
        <v/>
      </c>
      <c r="L1460" s="3">
        <f>IF(OR(K1460="",F1460=""),"",F1460/1000*K1460*100)</f>
        <v/>
      </c>
      <c r="M1460">
        <f>IF(OR(L1460="",L1460=0),"",ROUND(100/L1460,0))</f>
        <v/>
      </c>
      <c r="N1460" t="inlineStr"/>
    </row>
    <row r="1461">
      <c r="A1461" t="n">
        <v>156</v>
      </c>
      <c r="B1461" t="inlineStr">
        <is>
          <t>[Dehkia] Hystria Ruins</t>
        </is>
      </c>
      <c r="C1461" t="inlineStr">
        <is>
          <t>Black Stone</t>
        </is>
      </c>
      <c r="D1461" t="n">
        <v>24.312</v>
      </c>
      <c r="E1461" t="n">
        <v>8667.6</v>
      </c>
      <c r="F1461" s="3" t="n">
        <v>2.804928699986155</v>
      </c>
      <c r="G1461" t="n">
        <v>357</v>
      </c>
      <c r="H1461" s="3" t="n">
        <v>2.792331140340689</v>
      </c>
      <c r="I1461" s="3" t="n">
        <v>2.817569015749894</v>
      </c>
      <c r="J1461" t="n">
        <v>190028.7</v>
      </c>
      <c r="K1461">
        <f>IF(IFERROR(INDEX(Spots!$K$2:$K$96,MATCH(A1461,Spots!$A$2:$A$96,0)),"")="","",IFERROR(INDEX(Spots!$K$2:$K$96,MATCH(A1461,Spots!$A$2:$A$96,0)),""))</f>
        <v/>
      </c>
      <c r="L1461" s="3">
        <f>IF(OR(K1461="",F1461=""),"",F1461/1000*K1461*100)</f>
        <v/>
      </c>
      <c r="M1461">
        <f>IF(OR(L1461="",L1461=0),"",ROUND(100/L1461,0))</f>
        <v/>
      </c>
      <c r="N1461" t="inlineStr"/>
    </row>
    <row r="1462">
      <c r="A1462" t="n">
        <v>156</v>
      </c>
      <c r="B1462" t="inlineStr">
        <is>
          <t>[Dehkia] Hystria Ruins</t>
        </is>
      </c>
      <c r="C1462" t="inlineStr">
        <is>
          <t>Caphras Stone</t>
        </is>
      </c>
      <c r="D1462" t="n">
        <v>12.319</v>
      </c>
      <c r="E1462" t="n">
        <v>8667.6</v>
      </c>
      <c r="F1462" s="3" t="n">
        <v>1.421270017075084</v>
      </c>
      <c r="G1462" t="n">
        <v>704</v>
      </c>
      <c r="H1462" s="3" t="n">
        <v>1.412306706150374</v>
      </c>
      <c r="I1462" s="3" t="n">
        <v>1.430276097535558</v>
      </c>
      <c r="J1462" t="n">
        <v>96288.39999999999</v>
      </c>
      <c r="K1462">
        <f>IF(IFERROR(INDEX(Spots!$K$2:$K$96,MATCH(A1462,Spots!$A$2:$A$96,0)),"")="","",IFERROR(INDEX(Spots!$K$2:$K$96,MATCH(A1462,Spots!$A$2:$A$96,0)),""))</f>
        <v/>
      </c>
      <c r="L1462" s="3">
        <f>IF(OR(K1462="",F1462=""),"",F1462/1000*K1462*100)</f>
        <v/>
      </c>
      <c r="M1462">
        <f>IF(OR(L1462="",L1462=0),"",ROUND(100/L1462,0))</f>
        <v/>
      </c>
      <c r="N1462" t="inlineStr"/>
    </row>
    <row r="1463">
      <c r="A1463" t="n">
        <v>156</v>
      </c>
      <c r="B1463" t="inlineStr">
        <is>
          <t>[Dehkia] Hystria Ruins</t>
        </is>
      </c>
      <c r="C1463" t="inlineStr">
        <is>
          <t>Scroll Written in Ancient Language</t>
        </is>
      </c>
      <c r="D1463" t="n">
        <v>10.346</v>
      </c>
      <c r="E1463" t="n">
        <v>8667.6</v>
      </c>
      <c r="F1463" s="3" t="n">
        <v>1.193640684849324</v>
      </c>
      <c r="G1463" t="n">
        <v>838</v>
      </c>
      <c r="H1463" s="3" t="n">
        <v>1.185427622457994</v>
      </c>
      <c r="I1463" s="3" t="n">
        <v>1.20189652102135</v>
      </c>
      <c r="J1463" t="n">
        <v>80866.89999999999</v>
      </c>
      <c r="K1463">
        <f>IF(IFERROR(INDEX(Spots!$K$2:$K$96,MATCH(A1463,Spots!$A$2:$A$96,0)),"")="","",IFERROR(INDEX(Spots!$K$2:$K$96,MATCH(A1463,Spots!$A$2:$A$96,0)),""))</f>
        <v/>
      </c>
      <c r="L1463" s="3">
        <f>IF(OR(K1463="",F1463=""),"",F1463/1000*K1463*100)</f>
        <v/>
      </c>
      <c r="M1463">
        <f>IF(OR(L1463="",L1463=0),"",ROUND(100/L1463,0))</f>
        <v/>
      </c>
      <c r="N1463" t="inlineStr"/>
    </row>
    <row r="1464">
      <c r="A1464" t="n">
        <v>156</v>
      </c>
      <c r="B1464" t="inlineStr">
        <is>
          <t>[Dehkia] Hystria Ruins</t>
        </is>
      </c>
      <c r="C1464" t="inlineStr">
        <is>
          <t>Sealed Black Magic Crystal</t>
        </is>
      </c>
      <c r="D1464" t="n">
        <v>5.661452</v>
      </c>
      <c r="E1464" t="n">
        <v>8667.6</v>
      </c>
      <c r="F1464" s="3" t="n">
        <v>0.653174119710185</v>
      </c>
      <c r="G1464" t="n">
        <v>1531</v>
      </c>
      <c r="H1464" s="3" t="n">
        <v>0.6471022526125721</v>
      </c>
      <c r="I1464" s="3" t="n">
        <v>0.6592887784534167</v>
      </c>
      <c r="J1464" t="n">
        <v>44251.3</v>
      </c>
      <c r="K1464">
        <f>IF(IFERROR(INDEX(Spots!$K$2:$K$96,MATCH(A1464,Spots!$A$2:$A$96,0)),"")="","",IFERROR(INDEX(Spots!$K$2:$K$96,MATCH(A1464,Spots!$A$2:$A$96,0)),""))</f>
        <v/>
      </c>
      <c r="L1464" s="3">
        <f>IF(OR(K1464="",F1464=""),"",F1464/1000*K1464*100)</f>
        <v/>
      </c>
      <c r="M1464">
        <f>IF(OR(L1464="",L1464=0),"",ROUND(100/L1464,0))</f>
        <v/>
      </c>
      <c r="N1464" t="inlineStr"/>
    </row>
    <row r="1465">
      <c r="A1465" t="n">
        <v>156</v>
      </c>
      <c r="B1465" t="inlineStr">
        <is>
          <t>[Dehkia] Hystria Ruins</t>
        </is>
      </c>
      <c r="C1465" t="inlineStr">
        <is>
          <t>Imperfect Lightstone of Fire</t>
        </is>
      </c>
      <c r="D1465" t="n">
        <v>3.537839</v>
      </c>
      <c r="E1465" t="n">
        <v>8667.6</v>
      </c>
      <c r="F1465" s="3" t="n">
        <v>0.40816823572846</v>
      </c>
      <c r="G1465" t="n">
        <v>2450</v>
      </c>
      <c r="H1465" s="3" t="n">
        <v>0.403371323107033</v>
      </c>
      <c r="I1465" s="3" t="n">
        <v>0.4130079581766136</v>
      </c>
      <c r="J1465" t="n">
        <v>27652.6</v>
      </c>
      <c r="K1465">
        <f>IF(IFERROR(INDEX(Spots!$K$2:$K$96,MATCH(A1465,Spots!$A$2:$A$96,0)),"")="","",IFERROR(INDEX(Spots!$K$2:$K$96,MATCH(A1465,Spots!$A$2:$A$96,0)),""))</f>
        <v/>
      </c>
      <c r="L1465" s="3">
        <f>IF(OR(K1465="",F1465=""),"",F1465/1000*K1465*100)</f>
        <v/>
      </c>
      <c r="M1465">
        <f>IF(OR(L1465="",L1465=0),"",ROUND(100/L1465,0))</f>
        <v/>
      </c>
      <c r="N1465" t="inlineStr"/>
    </row>
    <row r="1466">
      <c r="A1466" t="n">
        <v>156</v>
      </c>
      <c r="B1466" t="inlineStr">
        <is>
          <t>[Dehkia] Hystria Ruins</t>
        </is>
      </c>
      <c r="C1466" t="inlineStr">
        <is>
          <t>Void Tainted Whispers</t>
        </is>
      </c>
      <c r="D1466" t="n">
        <v>0.7540917</v>
      </c>
      <c r="E1466" t="n">
        <v>8667.6</v>
      </c>
      <c r="F1466" s="3" t="n">
        <v>0.08700121140800222</v>
      </c>
      <c r="G1466" t="n">
        <v>11494</v>
      </c>
      <c r="H1466" s="3" t="n">
        <v>0.0847941124529321</v>
      </c>
      <c r="I1466" s="3" t="n">
        <v>0.08925122119780669</v>
      </c>
      <c r="J1466" t="n">
        <v>5894.2</v>
      </c>
      <c r="K1466">
        <f>IF(IFERROR(INDEX(Spots!$K$2:$K$96,MATCH(A1466,Spots!$A$2:$A$96,0)),"")="","",IFERROR(INDEX(Spots!$K$2:$K$96,MATCH(A1466,Spots!$A$2:$A$96,0)),""))</f>
        <v/>
      </c>
      <c r="L1466" s="3">
        <f>IF(OR(K1466="",F1466=""),"",F1466/1000*K1466*100)</f>
        <v/>
      </c>
      <c r="M1466">
        <f>IF(OR(L1466="",L1466=0),"",ROUND(100/L1466,0))</f>
        <v/>
      </c>
      <c r="N1466" t="inlineStr"/>
    </row>
    <row r="1467">
      <c r="A1467" t="n">
        <v>156</v>
      </c>
      <c r="B1467" t="inlineStr">
        <is>
          <t>[Dehkia] Hystria Ruins</t>
        </is>
      </c>
      <c r="C1467" t="inlineStr">
        <is>
          <t>Tungrad Earring</t>
        </is>
      </c>
      <c r="D1467" t="n">
        <v>0.26155784</v>
      </c>
      <c r="E1467" t="n">
        <v>8667.6</v>
      </c>
      <c r="F1467" s="3" t="n">
        <v>0.03017650099220084</v>
      </c>
      <c r="G1467" t="n">
        <v>33138</v>
      </c>
      <c r="H1467" s="3" t="n">
        <v>0.02888242982013865</v>
      </c>
      <c r="I1467" s="3" t="n">
        <v>0.03151361349282782</v>
      </c>
      <c r="J1467" t="n">
        <v>2044.4</v>
      </c>
      <c r="K1467">
        <f>IF(IFERROR(INDEX(Spots!$K$2:$K$96,MATCH(A1467,Spots!$A$2:$A$96,0)),"")="","",IFERROR(INDEX(Spots!$K$2:$K$96,MATCH(A1467,Spots!$A$2:$A$96,0)),""))</f>
        <v/>
      </c>
      <c r="L1467" s="3">
        <f>IF(OR(K1467="",F1467=""),"",F1467/1000*K1467*100)</f>
        <v/>
      </c>
      <c r="M1467">
        <f>IF(OR(L1467="",L1467=0),"",ROUND(100/L1467,0))</f>
        <v/>
      </c>
      <c r="N1467" t="inlineStr"/>
    </row>
    <row r="1468">
      <c r="A1468" t="n">
        <v>156</v>
      </c>
      <c r="B1468" t="inlineStr">
        <is>
          <t>[Dehkia] Hystria Ruins</t>
        </is>
      </c>
      <c r="C1468" t="inlineStr">
        <is>
          <t>Tungrad Necklace</t>
        </is>
      </c>
      <c r="D1468" t="n">
        <v>0.25729794</v>
      </c>
      <c r="E1468" t="n">
        <v>8667.6</v>
      </c>
      <c r="F1468" s="3" t="n">
        <v>0.02968502699709262</v>
      </c>
      <c r="G1468" t="n">
        <v>33687</v>
      </c>
      <c r="H1468" s="3" t="n">
        <v>0.02840165226683729</v>
      </c>
      <c r="I1468" s="3" t="n">
        <v>0.03101144566759898</v>
      </c>
      <c r="J1468" t="n">
        <v>2011.1</v>
      </c>
      <c r="K1468">
        <f>IF(IFERROR(INDEX(Spots!$K$2:$K$96,MATCH(A1468,Spots!$A$2:$A$96,0)),"")="","",IFERROR(INDEX(Spots!$K$2:$K$96,MATCH(A1468,Spots!$A$2:$A$96,0)),""))</f>
        <v/>
      </c>
      <c r="L1468" s="3">
        <f>IF(OR(K1468="",F1468=""),"",F1468/1000*K1468*100)</f>
        <v/>
      </c>
      <c r="M1468">
        <f>IF(OR(L1468="",L1468=0),"",ROUND(100/L1468,0))</f>
        <v/>
      </c>
      <c r="N1468" t="inlineStr"/>
    </row>
    <row r="1469">
      <c r="A1469" t="n">
        <v>156</v>
      </c>
      <c r="B1469" t="inlineStr">
        <is>
          <t>[Dehkia] Hystria Ruins</t>
        </is>
      </c>
      <c r="C1469" t="inlineStr">
        <is>
          <t>Dehkia's Fragment</t>
        </is>
      </c>
      <c r="D1469" t="n">
        <v>0.20918528</v>
      </c>
      <c r="E1469" t="n">
        <v>8667.6</v>
      </c>
      <c r="F1469" s="3" t="n">
        <v>0.02413416401310628</v>
      </c>
      <c r="G1469" t="n">
        <v>41435</v>
      </c>
      <c r="H1469" s="3" t="n">
        <v>0.02297836930856046</v>
      </c>
      <c r="I1469" s="3" t="n">
        <v>0.02533303746928869</v>
      </c>
      <c r="J1469" t="n">
        <v>1635</v>
      </c>
      <c r="K1469">
        <f>IF(IFERROR(INDEX(Spots!$K$2:$K$96,MATCH(A1469,Spots!$A$2:$A$96,0)),"")="","",IFERROR(INDEX(Spots!$K$2:$K$96,MATCH(A1469,Spots!$A$2:$A$96,0)),""))</f>
        <v/>
      </c>
      <c r="L1469" s="3">
        <f>IF(OR(K1469="",F1469=""),"",F1469/1000*K1469*100)</f>
        <v/>
      </c>
      <c r="M1469">
        <f>IF(OR(L1469="",L1469=0),"",ROUND(100/L1469,0))</f>
        <v/>
      </c>
      <c r="N1469" t="inlineStr"/>
    </row>
    <row r="1470">
      <c r="A1470" t="n">
        <v>156</v>
      </c>
      <c r="B1470" t="inlineStr">
        <is>
          <t>[Dehkia] Hystria Ruins</t>
        </is>
      </c>
      <c r="C1470" t="inlineStr">
        <is>
          <t>Deboreka Earring</t>
        </is>
      </c>
      <c r="D1470" t="n">
        <v>0.18620194</v>
      </c>
      <c r="E1470" t="n">
        <v>8667.6</v>
      </c>
      <c r="F1470" s="3" t="n">
        <v>0.02148252572799852</v>
      </c>
      <c r="G1470" t="n">
        <v>46549</v>
      </c>
      <c r="H1470" s="3" t="n">
        <v>0.02039286889482438</v>
      </c>
      <c r="I1470" s="3" t="n">
        <v>0.02261528250724638</v>
      </c>
      <c r="J1470" t="n">
        <v>1455.4</v>
      </c>
      <c r="K1470">
        <f>IF(IFERROR(INDEX(Spots!$K$2:$K$96,MATCH(A1470,Spots!$A$2:$A$96,0)),"")="","",IFERROR(INDEX(Spots!$K$2:$K$96,MATCH(A1470,Spots!$A$2:$A$96,0)),""))</f>
        <v/>
      </c>
      <c r="L1470" s="3">
        <f>IF(OR(K1470="",F1470=""),"",F1470/1000*K1470*100)</f>
        <v/>
      </c>
      <c r="M1470">
        <f>IF(OR(L1470="",L1470=0),"",ROUND(100/L1470,0))</f>
        <v/>
      </c>
      <c r="N1470" t="inlineStr"/>
    </row>
    <row r="1471">
      <c r="A1471" t="n">
        <v>156</v>
      </c>
      <c r="B1471" t="inlineStr">
        <is>
          <t>[Dehkia] Hystria Ruins</t>
        </is>
      </c>
      <c r="C1471" t="inlineStr">
        <is>
          <t>Hystria Ruins Paint</t>
        </is>
      </c>
      <c r="D1471" t="n">
        <v>0.08598176</v>
      </c>
      <c r="E1471" t="n">
        <v>8667.6</v>
      </c>
      <c r="F1471" s="3" t="n">
        <v>0.009919904010337348</v>
      </c>
      <c r="G1471" t="n">
        <v>100807</v>
      </c>
      <c r="H1471" s="3" t="n">
        <v>0.009183972275868963</v>
      </c>
      <c r="I1471" s="3" t="n">
        <v>0.01069911192529825</v>
      </c>
      <c r="J1471" t="n">
        <v>672.1</v>
      </c>
      <c r="K1471">
        <f>IF(IFERROR(INDEX(Spots!$K$2:$K$96,MATCH(A1471,Spots!$A$2:$A$96,0)),"")="","",IFERROR(INDEX(Spots!$K$2:$K$96,MATCH(A1471,Spots!$A$2:$A$96,0)),""))</f>
        <v/>
      </c>
      <c r="L1471" s="3">
        <f>IF(OR(K1471="",F1471=""),"",F1471/1000*K1471*100)</f>
        <v/>
      </c>
      <c r="M1471">
        <f>IF(OR(L1471="",L1471=0),"",ROUND(100/L1471,0))</f>
        <v/>
      </c>
      <c r="N1471" t="inlineStr"/>
    </row>
    <row r="1472">
      <c r="A1472" t="n">
        <v>156</v>
      </c>
      <c r="B1472" t="inlineStr">
        <is>
          <t>[Dehkia] Hystria Ruins</t>
        </is>
      </c>
      <c r="C1472" t="inlineStr">
        <is>
          <t>Any Artifact</t>
        </is>
      </c>
      <c r="D1472" t="n">
        <v>0.02910565</v>
      </c>
      <c r="E1472" t="n">
        <v>8667.6</v>
      </c>
      <c r="F1472" s="3" t="n">
        <v>0.003357982601873644</v>
      </c>
      <c r="G1472" t="n">
        <v>297798</v>
      </c>
      <c r="H1472" s="3" t="n">
        <v>0.002935748485170978</v>
      </c>
      <c r="I1472" s="3" t="n">
        <v>0.003823884374875191</v>
      </c>
      <c r="J1472" t="n">
        <v>227.5</v>
      </c>
      <c r="K1472">
        <f>IF(IFERROR(INDEX(Spots!$K$2:$K$96,MATCH(A1472,Spots!$A$2:$A$96,0)),"")="","",IFERROR(INDEX(Spots!$K$2:$K$96,MATCH(A1472,Spots!$A$2:$A$96,0)),""))</f>
        <v/>
      </c>
      <c r="L1472" s="3">
        <f>IF(OR(K1472="",F1472=""),"",F1472/1000*K1472*100)</f>
        <v/>
      </c>
      <c r="M1472">
        <f>IF(OR(L1472="",L1472=0),"",ROUND(100/L1472,0))</f>
        <v/>
      </c>
      <c r="N1472" t="inlineStr"/>
    </row>
    <row r="1473">
      <c r="A1473" t="n">
        <v>199</v>
      </c>
      <c r="B1473" t="inlineStr">
        <is>
          <t>[Dehkia] Mirumok Ruins</t>
        </is>
      </c>
      <c r="C1473" t="inlineStr">
        <is>
          <t>Ancient Spirit Dust</t>
        </is>
      </c>
      <c r="D1473" t="n">
        <v>26.197</v>
      </c>
      <c r="E1473" t="n">
        <v>6554.8</v>
      </c>
      <c r="F1473" s="3" t="n">
        <v>3.996613168975407</v>
      </c>
      <c r="G1473" t="n">
        <v>250</v>
      </c>
      <c r="H1473" s="3" t="n">
        <v>3.971965224487108</v>
      </c>
      <c r="I1473" s="3" t="n">
        <v>4.021376114838962</v>
      </c>
      <c r="J1473" t="n">
        <v>100695.6</v>
      </c>
      <c r="K1473">
        <f>IF(IFERROR(INDEX(Spots!$K$2:$K$96,MATCH(A1473,Spots!$A$2:$A$96,0)),"")="","",IFERROR(INDEX(Spots!$K$2:$K$96,MATCH(A1473,Spots!$A$2:$A$96,0)),""))</f>
        <v/>
      </c>
      <c r="L1473" s="3">
        <f>IF(OR(K1473="",F1473=""),"",F1473/1000*K1473*100)</f>
        <v/>
      </c>
      <c r="M1473">
        <f>IF(OR(L1473="",L1473=0),"",ROUND(100/L1473,0))</f>
        <v/>
      </c>
      <c r="N1473" t="inlineStr"/>
    </row>
    <row r="1474">
      <c r="A1474" t="n">
        <v>199</v>
      </c>
      <c r="B1474" t="inlineStr">
        <is>
          <t>[Dehkia] Mirumok Ruins</t>
        </is>
      </c>
      <c r="C1474" t="inlineStr">
        <is>
          <t>Black Stone</t>
        </is>
      </c>
      <c r="D1474" t="n">
        <v>16.072</v>
      </c>
      <c r="E1474" t="n">
        <v>6554.8</v>
      </c>
      <c r="F1474" s="3" t="n">
        <v>2.451943613840239</v>
      </c>
      <c r="G1474" t="n">
        <v>408</v>
      </c>
      <c r="H1474" s="3" t="n">
        <v>2.432645878728878</v>
      </c>
      <c r="I1474" s="3" t="n">
        <v>2.471356384191622</v>
      </c>
      <c r="J1474" t="n">
        <v>61777.3</v>
      </c>
      <c r="K1474">
        <f>IF(IFERROR(INDEX(Spots!$K$2:$K$96,MATCH(A1474,Spots!$A$2:$A$96,0)),"")="","",IFERROR(INDEX(Spots!$K$2:$K$96,MATCH(A1474,Spots!$A$2:$A$96,0)),""))</f>
        <v/>
      </c>
      <c r="L1474" s="3">
        <f>IF(OR(K1474="",F1474=""),"",F1474/1000*K1474*100)</f>
        <v/>
      </c>
      <c r="M1474">
        <f>IF(OR(L1474="",L1474=0),"",ROUND(100/L1474,0))</f>
        <v/>
      </c>
      <c r="N1474" t="inlineStr"/>
    </row>
    <row r="1475">
      <c r="A1475" t="n">
        <v>199</v>
      </c>
      <c r="B1475" t="inlineStr">
        <is>
          <t>[Dehkia] Mirumok Ruins</t>
        </is>
      </c>
      <c r="C1475" t="inlineStr">
        <is>
          <t>Caphras Stone</t>
        </is>
      </c>
      <c r="D1475" t="n">
        <v>6.522563</v>
      </c>
      <c r="E1475" t="n">
        <v>6554.8</v>
      </c>
      <c r="F1475" s="3" t="n">
        <v>0.9950819246964057</v>
      </c>
      <c r="G1475" t="n">
        <v>1005</v>
      </c>
      <c r="H1475" s="3" t="n">
        <v>0.982801951948392</v>
      </c>
      <c r="I1475" s="3" t="n">
        <v>1.00747702164414</v>
      </c>
      <c r="J1475" t="n">
        <v>25071.3</v>
      </c>
      <c r="K1475">
        <f>IF(IFERROR(INDEX(Spots!$K$2:$K$96,MATCH(A1475,Spots!$A$2:$A$96,0)),"")="","",IFERROR(INDEX(Spots!$K$2:$K$96,MATCH(A1475,Spots!$A$2:$A$96,0)),""))</f>
        <v/>
      </c>
      <c r="L1475" s="3">
        <f>IF(OR(K1475="",F1475=""),"",F1475/1000*K1475*100)</f>
        <v/>
      </c>
      <c r="M1475">
        <f>IF(OR(L1475="",L1475=0),"",ROUND(100/L1475,0))</f>
        <v/>
      </c>
      <c r="N1475" t="inlineStr"/>
    </row>
    <row r="1476">
      <c r="A1476" t="n">
        <v>199</v>
      </c>
      <c r="B1476" t="inlineStr">
        <is>
          <t>[Dehkia] Mirumok Ruins</t>
        </is>
      </c>
      <c r="C1476" t="inlineStr">
        <is>
          <t>Trace of Nature</t>
        </is>
      </c>
      <c r="D1476" t="n">
        <v>1.234353</v>
      </c>
      <c r="E1476" t="n">
        <v>6554.8</v>
      </c>
      <c r="F1476" s="3" t="n">
        <v>0.1883128394459022</v>
      </c>
      <c r="G1476" t="n">
        <v>5310</v>
      </c>
      <c r="H1476" s="3" t="n">
        <v>0.1829921018563614</v>
      </c>
      <c r="I1476" s="3" t="n">
        <v>0.1937490188258793</v>
      </c>
      <c r="J1476" t="n">
        <v>4744.6</v>
      </c>
      <c r="K1476">
        <f>IF(IFERROR(INDEX(Spots!$K$2:$K$96,MATCH(A1476,Spots!$A$2:$A$96,0)),"")="","",IFERROR(INDEX(Spots!$K$2:$K$96,MATCH(A1476,Spots!$A$2:$A$96,0)),""))</f>
        <v/>
      </c>
      <c r="L1476" s="3">
        <f>IF(OR(K1476="",F1476=""),"",F1476/1000*K1476*100)</f>
        <v/>
      </c>
      <c r="M1476">
        <f>IF(OR(L1476="",L1476=0),"",ROUND(100/L1476,0))</f>
        <v/>
      </c>
      <c r="N1476" t="inlineStr"/>
    </row>
    <row r="1477">
      <c r="A1477" t="n">
        <v>199</v>
      </c>
      <c r="B1477" t="inlineStr">
        <is>
          <t>[Dehkia] Mirumok Ruins</t>
        </is>
      </c>
      <c r="C1477" t="inlineStr">
        <is>
          <t>Void Tainted Whispers</t>
        </is>
      </c>
      <c r="D1477" t="n">
        <v>1.121029</v>
      </c>
      <c r="E1477" t="n">
        <v>6554.8</v>
      </c>
      <c r="F1477" s="3" t="n">
        <v>0.1710241349850491</v>
      </c>
      <c r="G1477" t="n">
        <v>5847</v>
      </c>
      <c r="H1477" s="3" t="n">
        <v>0.1659552965425153</v>
      </c>
      <c r="I1477" s="3" t="n">
        <v>0.1762084428918494</v>
      </c>
      <c r="J1477" t="n">
        <v>4309</v>
      </c>
      <c r="K1477">
        <f>IF(IFERROR(INDEX(Spots!$K$2:$K$96,MATCH(A1477,Spots!$A$2:$A$96,0)),"")="","",IFERROR(INDEX(Spots!$K$2:$K$96,MATCH(A1477,Spots!$A$2:$A$96,0)),""))</f>
        <v/>
      </c>
      <c r="L1477" s="3">
        <f>IF(OR(K1477="",F1477=""),"",F1477/1000*K1477*100)</f>
        <v/>
      </c>
      <c r="M1477">
        <f>IF(OR(L1477="",L1477=0),"",ROUND(100/L1477,0))</f>
        <v/>
      </c>
      <c r="N1477" t="inlineStr"/>
    </row>
    <row r="1478">
      <c r="A1478" t="n">
        <v>199</v>
      </c>
      <c r="B1478" t="inlineStr">
        <is>
          <t>[Dehkia] Mirumok Ruins</t>
        </is>
      </c>
      <c r="C1478" t="inlineStr">
        <is>
          <t>Swaying Wind Shard</t>
        </is>
      </c>
      <c r="D1478" t="n">
        <v>0.82958728</v>
      </c>
      <c r="E1478" t="n">
        <v>6554.8</v>
      </c>
      <c r="F1478" s="3" t="n">
        <v>0.1265617989870019</v>
      </c>
      <c r="G1478" t="n">
        <v>7901</v>
      </c>
      <c r="H1478" s="3" t="n">
        <v>0.1222066335539188</v>
      </c>
      <c r="I1478" s="3" t="n">
        <v>0.1310325294535858</v>
      </c>
      <c r="J1478" t="n">
        <v>3188.8</v>
      </c>
      <c r="K1478">
        <f>IF(IFERROR(INDEX(Spots!$K$2:$K$96,MATCH(A1478,Spots!$A$2:$A$96,0)),"")="","",IFERROR(INDEX(Spots!$K$2:$K$96,MATCH(A1478,Spots!$A$2:$A$96,0)),""))</f>
        <v/>
      </c>
      <c r="L1478" s="3">
        <f>IF(OR(K1478="",F1478=""),"",F1478/1000*K1478*100)</f>
        <v/>
      </c>
      <c r="M1478">
        <f>IF(OR(L1478="",L1478=0),"",ROUND(100/L1478,0))</f>
        <v/>
      </c>
      <c r="N1478" t="inlineStr"/>
    </row>
    <row r="1479">
      <c r="A1479" t="n">
        <v>199</v>
      </c>
      <c r="B1479" t="inlineStr">
        <is>
          <t>[Dehkia] Mirumok Ruins</t>
        </is>
      </c>
      <c r="C1479" t="inlineStr">
        <is>
          <t>Rumbling Earth Shard</t>
        </is>
      </c>
      <c r="D1479" t="n">
        <v>0.8192982599999999</v>
      </c>
      <c r="E1479" t="n">
        <v>6554.8</v>
      </c>
      <c r="F1479" s="3" t="n">
        <v>0.1249921065478733</v>
      </c>
      <c r="G1479" t="n">
        <v>8001</v>
      </c>
      <c r="H1479" s="3" t="n">
        <v>0.1206642682271121</v>
      </c>
      <c r="I1479" s="3" t="n">
        <v>0.1294355141801854</v>
      </c>
      <c r="J1479" t="n">
        <v>3149.2</v>
      </c>
      <c r="K1479">
        <f>IF(IFERROR(INDEX(Spots!$K$2:$K$96,MATCH(A1479,Spots!$A$2:$A$96,0)),"")="","",IFERROR(INDEX(Spots!$K$2:$K$96,MATCH(A1479,Spots!$A$2:$A$96,0)),""))</f>
        <v/>
      </c>
      <c r="L1479" s="3">
        <f>IF(OR(K1479="",F1479=""),"",F1479/1000*K1479*100)</f>
        <v/>
      </c>
      <c r="M1479">
        <f>IF(OR(L1479="",L1479=0),"",ROUND(100/L1479,0))</f>
        <v/>
      </c>
      <c r="N1479" t="inlineStr"/>
    </row>
    <row r="1480">
      <c r="A1480" t="n">
        <v>199</v>
      </c>
      <c r="B1480" t="inlineStr">
        <is>
          <t>[Dehkia] Mirumok Ruins</t>
        </is>
      </c>
      <c r="C1480" t="inlineStr">
        <is>
          <t>Forest Fury</t>
        </is>
      </c>
      <c r="D1480" t="n">
        <v>0.7080824100000001</v>
      </c>
      <c r="E1480" t="n">
        <v>6554.8</v>
      </c>
      <c r="F1480" s="3" t="n">
        <v>0.1080250213583939</v>
      </c>
      <c r="G1480" t="n">
        <v>9257</v>
      </c>
      <c r="H1480" s="3" t="n">
        <v>0.1040042939039592</v>
      </c>
      <c r="I1480" s="3" t="n">
        <v>0.1121613701470399</v>
      </c>
      <c r="J1480" t="n">
        <v>2721.7</v>
      </c>
      <c r="K1480">
        <f>IF(IFERROR(INDEX(Spots!$K$2:$K$96,MATCH(A1480,Spots!$A$2:$A$96,0)),"")="","",IFERROR(INDEX(Spots!$K$2:$K$96,MATCH(A1480,Spots!$A$2:$A$96,0)),""))</f>
        <v/>
      </c>
      <c r="L1480" s="3">
        <f>IF(OR(K1480="",F1480=""),"",F1480/1000*K1480*100)</f>
        <v/>
      </c>
      <c r="M1480">
        <f>IF(OR(L1480="",L1480=0),"",ROUND(100/L1480,0))</f>
        <v/>
      </c>
      <c r="N1480" t="inlineStr"/>
    </row>
    <row r="1481">
      <c r="A1481" t="n">
        <v>199</v>
      </c>
      <c r="B1481" t="inlineStr">
        <is>
          <t>[Dehkia] Mirumok Ruins</t>
        </is>
      </c>
      <c r="C1481" t="inlineStr">
        <is>
          <t>Dehkia's Fragment</t>
        </is>
      </c>
      <c r="D1481" t="n">
        <v>0.31558299</v>
      </c>
      <c r="E1481" t="n">
        <v>6554.8</v>
      </c>
      <c r="F1481" s="3" t="n">
        <v>0.0481453270885458</v>
      </c>
      <c r="G1481" t="n">
        <v>20770</v>
      </c>
      <c r="H1481" s="3" t="n">
        <v>0.04547369133031669</v>
      </c>
      <c r="I1481" s="3" t="n">
        <v>0.05093295147904889</v>
      </c>
      <c r="J1481" t="n">
        <v>1213</v>
      </c>
      <c r="K1481">
        <f>IF(IFERROR(INDEX(Spots!$K$2:$K$96,MATCH(A1481,Spots!$A$2:$A$96,0)),"")="","",IFERROR(INDEX(Spots!$K$2:$K$96,MATCH(A1481,Spots!$A$2:$A$96,0)),""))</f>
        <v/>
      </c>
      <c r="L1481" s="3">
        <f>IF(OR(K1481="",F1481=""),"",F1481/1000*K1481*100)</f>
        <v/>
      </c>
      <c r="M1481">
        <f>IF(OR(L1481="",L1481=0),"",ROUND(100/L1481,0))</f>
        <v/>
      </c>
      <c r="N1481" t="inlineStr"/>
    </row>
    <row r="1482">
      <c r="A1482" t="n">
        <v>199</v>
      </c>
      <c r="B1482" t="inlineStr">
        <is>
          <t>[Dehkia] Mirumok Ruins</t>
        </is>
      </c>
      <c r="C1482" t="inlineStr">
        <is>
          <t>Krogdalo's Origin Stone</t>
        </is>
      </c>
      <c r="D1482" t="n">
        <v>0.25097059</v>
      </c>
      <c r="E1482" t="n">
        <v>6554.8</v>
      </c>
      <c r="F1482" s="3" t="n">
        <v>0.03828806218343809</v>
      </c>
      <c r="G1482" t="n">
        <v>26118</v>
      </c>
      <c r="H1482" s="3" t="n">
        <v>0.03590967631443724</v>
      </c>
      <c r="I1482" s="3" t="n">
        <v>0.04078257038358063</v>
      </c>
      <c r="J1482" t="n">
        <v>964.7</v>
      </c>
      <c r="K1482">
        <f>IF(IFERROR(INDEX(Spots!$K$2:$K$96,MATCH(A1482,Spots!$A$2:$A$96,0)),"")="","",IFERROR(INDEX(Spots!$K$2:$K$96,MATCH(A1482,Spots!$A$2:$A$96,0)),""))</f>
        <v/>
      </c>
      <c r="L1482" s="3">
        <f>IF(OR(K1482="",F1482=""),"",F1482/1000*K1482*100)</f>
        <v/>
      </c>
      <c r="M1482">
        <f>IF(OR(L1482="",L1482=0),"",ROUND(100/L1482,0))</f>
        <v/>
      </c>
      <c r="N1482" t="inlineStr"/>
    </row>
    <row r="1483">
      <c r="A1483" t="n">
        <v>199</v>
      </c>
      <c r="B1483" t="inlineStr">
        <is>
          <t>[Dehkia] Mirumok Ruins</t>
        </is>
      </c>
      <c r="C1483" t="inlineStr">
        <is>
          <t>Destruction Spirit Stone</t>
        </is>
      </c>
      <c r="D1483" t="n">
        <v>0.24332176</v>
      </c>
      <c r="E1483" t="n">
        <v>6554.8</v>
      </c>
      <c r="F1483" s="3" t="n">
        <v>0.03712115701470678</v>
      </c>
      <c r="G1483" t="n">
        <v>26939</v>
      </c>
      <c r="H1483" s="3" t="n">
        <v>0.03477987791815874</v>
      </c>
      <c r="I1483" s="3" t="n">
        <v>0.03957857769108653</v>
      </c>
      <c r="J1483" t="n">
        <v>935.3</v>
      </c>
      <c r="K1483">
        <f>IF(IFERROR(INDEX(Spots!$K$2:$K$96,MATCH(A1483,Spots!$A$2:$A$96,0)),"")="","",IFERROR(INDEX(Spots!$K$2:$K$96,MATCH(A1483,Spots!$A$2:$A$96,0)),""))</f>
        <v/>
      </c>
      <c r="L1483" s="3">
        <f>IF(OR(K1483="",F1483=""),"",F1483/1000*K1483*100)</f>
        <v/>
      </c>
      <c r="M1483">
        <f>IF(OR(L1483="",L1483=0),"",ROUND(100/L1483,0))</f>
        <v/>
      </c>
      <c r="N1483" t="inlineStr"/>
    </row>
    <row r="1484">
      <c r="A1484" t="n">
        <v>199</v>
      </c>
      <c r="B1484" t="inlineStr">
        <is>
          <t>[Dehkia] Mirumok Ruins</t>
        </is>
      </c>
      <c r="C1484" t="inlineStr">
        <is>
          <t>Guardian Spirit Stone</t>
        </is>
      </c>
      <c r="D1484" t="n">
        <v>0.23628618</v>
      </c>
      <c r="E1484" t="n">
        <v>6554.8</v>
      </c>
      <c r="F1484" s="3" t="n">
        <v>0.03604780923903094</v>
      </c>
      <c r="G1484" t="n">
        <v>27741</v>
      </c>
      <c r="H1484" s="3" t="n">
        <v>0.03374118040800859</v>
      </c>
      <c r="I1484" s="3" t="n">
        <v>0.03847059817007991</v>
      </c>
      <c r="J1484" t="n">
        <v>908.2</v>
      </c>
      <c r="K1484">
        <f>IF(IFERROR(INDEX(Spots!$K$2:$K$96,MATCH(A1484,Spots!$A$2:$A$96,0)),"")="","",IFERROR(INDEX(Spots!$K$2:$K$96,MATCH(A1484,Spots!$A$2:$A$96,0)),""))</f>
        <v/>
      </c>
      <c r="L1484" s="3">
        <f>IF(OR(K1484="",F1484=""),"",F1484/1000*K1484*100)</f>
        <v/>
      </c>
      <c r="M1484">
        <f>IF(OR(L1484="",L1484=0),"",ROUND(100/L1484,0))</f>
        <v/>
      </c>
      <c r="N1484" t="inlineStr"/>
    </row>
    <row r="1485">
      <c r="A1485" t="n">
        <v>199</v>
      </c>
      <c r="B1485" t="inlineStr">
        <is>
          <t>[Dehkia] Mirumok Ruins</t>
        </is>
      </c>
      <c r="C1485" t="inlineStr">
        <is>
          <t>Life Spirit Stone</t>
        </is>
      </c>
      <c r="D1485" t="n">
        <v>0.23416136</v>
      </c>
      <c r="E1485" t="n">
        <v>6554.8</v>
      </c>
      <c r="F1485" s="3" t="n">
        <v>0.03572364679318972</v>
      </c>
      <c r="G1485" t="n">
        <v>27993</v>
      </c>
      <c r="H1485" s="3" t="n">
        <v>0.03342758386208681</v>
      </c>
      <c r="I1485" s="3" t="n">
        <v>0.03813587558021829</v>
      </c>
      <c r="J1485" t="n">
        <v>900.1</v>
      </c>
      <c r="K1485">
        <f>IF(IFERROR(INDEX(Spots!$K$2:$K$96,MATCH(A1485,Spots!$A$2:$A$96,0)),"")="","",IFERROR(INDEX(Spots!$K$2:$K$96,MATCH(A1485,Spots!$A$2:$A$96,0)),""))</f>
        <v/>
      </c>
      <c r="L1485" s="3">
        <f>IF(OR(K1485="",F1485=""),"",F1485/1000*K1485*100)</f>
        <v/>
      </c>
      <c r="M1485">
        <f>IF(OR(L1485="",L1485=0),"",ROUND(100/L1485,0))</f>
        <v/>
      </c>
      <c r="N1485" t="inlineStr"/>
    </row>
    <row r="1486">
      <c r="A1486" t="n">
        <v>199</v>
      </c>
      <c r="B1486" t="inlineStr">
        <is>
          <t>[Dehkia] Mirumok Ruins</t>
        </is>
      </c>
      <c r="C1486" t="inlineStr">
        <is>
          <t>Deboreka Belt</t>
        </is>
      </c>
      <c r="D1486" t="n">
        <v>0.20085815</v>
      </c>
      <c r="E1486" t="n">
        <v>6554.8</v>
      </c>
      <c r="F1486" s="3" t="n">
        <v>0.03064291053884176</v>
      </c>
      <c r="G1486" t="n">
        <v>32634</v>
      </c>
      <c r="H1486" s="3" t="n">
        <v>0.0285191901340243</v>
      </c>
      <c r="I1486" s="3" t="n">
        <v>0.03288289856119087</v>
      </c>
      <c r="J1486" t="n">
        <v>772.1</v>
      </c>
      <c r="K1486">
        <f>IF(IFERROR(INDEX(Spots!$K$2:$K$96,MATCH(A1486,Spots!$A$2:$A$96,0)),"")="","",IFERROR(INDEX(Spots!$K$2:$K$96,MATCH(A1486,Spots!$A$2:$A$96,0)),""))</f>
        <v/>
      </c>
      <c r="L1486" s="3">
        <f>IF(OR(K1486="",F1486=""),"",F1486/1000*K1486*100)</f>
        <v/>
      </c>
      <c r="M1486">
        <f>IF(OR(L1486="",L1486=0),"",ROUND(100/L1486,0))</f>
        <v/>
      </c>
      <c r="N1486" t="inlineStr"/>
    </row>
    <row r="1487">
      <c r="A1487" t="n">
        <v>199</v>
      </c>
      <c r="B1487" t="inlineStr">
        <is>
          <t>[Dehkia] Mirumok Ruins</t>
        </is>
      </c>
      <c r="C1487" t="inlineStr">
        <is>
          <t>Valtarra Eclipsed Belt</t>
        </is>
      </c>
      <c r="D1487" t="n">
        <v>0.07761984</v>
      </c>
      <c r="E1487" t="n">
        <v>6554.8</v>
      </c>
      <c r="F1487" s="3" t="n">
        <v>0.01184167937999634</v>
      </c>
      <c r="G1487" t="n">
        <v>84447</v>
      </c>
      <c r="H1487" s="3" t="n">
        <v>0.01053591583075584</v>
      </c>
      <c r="I1487" s="3" t="n">
        <v>0.0132645444365645</v>
      </c>
      <c r="J1487" t="n">
        <v>298.4</v>
      </c>
      <c r="K1487">
        <f>IF(IFERROR(INDEX(Spots!$K$2:$K$96,MATCH(A1487,Spots!$A$2:$A$96,0)),"")="","",IFERROR(INDEX(Spots!$K$2:$K$96,MATCH(A1487,Spots!$A$2:$A$96,0)),""))</f>
        <v/>
      </c>
      <c r="L1487" s="3">
        <f>IF(OR(K1487="",F1487=""),"",F1487/1000*K1487*100)</f>
        <v/>
      </c>
      <c r="M1487">
        <f>IF(OR(L1487="",L1487=0),"",ROUND(100/L1487,0))</f>
        <v/>
      </c>
      <c r="N1487" t="inlineStr"/>
    </row>
    <row r="1488">
      <c r="A1488" t="n">
        <v>199</v>
      </c>
      <c r="B1488" t="inlineStr">
        <is>
          <t>[Dehkia] Mirumok Ruins</t>
        </is>
      </c>
      <c r="C1488" t="inlineStr">
        <is>
          <t>Crystal of Stalwart Fortitude</t>
        </is>
      </c>
      <c r="D1488" t="n">
        <v>0.01821961</v>
      </c>
      <c r="E1488" t="n">
        <v>6554.8</v>
      </c>
      <c r="F1488" s="3" t="n">
        <v>0.002779582901080124</v>
      </c>
      <c r="G1488" t="n">
        <v>359766</v>
      </c>
      <c r="H1488" s="3" t="n">
        <v>0.002166850554059242</v>
      </c>
      <c r="I1488" s="3" t="n">
        <v>0.003511712318047894</v>
      </c>
      <c r="J1488" t="n">
        <v>70</v>
      </c>
      <c r="K1488">
        <f>IF(IFERROR(INDEX(Spots!$K$2:$K$96,MATCH(A1488,Spots!$A$2:$A$96,0)),"")="","",IFERROR(INDEX(Spots!$K$2:$K$96,MATCH(A1488,Spots!$A$2:$A$96,0)),""))</f>
        <v/>
      </c>
      <c r="L1488" s="3">
        <f>IF(OR(K1488="",F1488=""),"",F1488/1000*K1488*100)</f>
        <v/>
      </c>
      <c r="M1488">
        <f>IF(OR(L1488="",L1488=0),"",ROUND(100/L1488,0))</f>
        <v/>
      </c>
      <c r="N1488" t="inlineStr"/>
    </row>
    <row r="1489">
      <c r="A1489" t="n">
        <v>199</v>
      </c>
      <c r="B1489" t="inlineStr">
        <is>
          <t>[Dehkia] Mirumok Ruins</t>
        </is>
      </c>
      <c r="C1489" t="inlineStr">
        <is>
          <t>Crystal of Dogged Patience</t>
        </is>
      </c>
      <c r="D1489" t="n">
        <v>0.009395300000000001</v>
      </c>
      <c r="E1489" t="n">
        <v>6554.8</v>
      </c>
      <c r="F1489" s="3" t="n">
        <v>0.001433346555196192</v>
      </c>
      <c r="G1489" t="n">
        <v>697668</v>
      </c>
      <c r="H1489" s="3" t="n">
        <v>0.001004365480989561</v>
      </c>
      <c r="I1489" s="3" t="n">
        <v>0.001983420388497179</v>
      </c>
      <c r="J1489" t="n">
        <v>36.1</v>
      </c>
      <c r="K1489">
        <f>IF(IFERROR(INDEX(Spots!$K$2:$K$96,MATCH(A1489,Spots!$A$2:$A$96,0)),"")="","",IFERROR(INDEX(Spots!$K$2:$K$96,MATCH(A1489,Spots!$A$2:$A$96,0)),""))</f>
        <v/>
      </c>
      <c r="L1489" s="3">
        <f>IF(OR(K1489="",F1489=""),"",F1489/1000*K1489*100)</f>
        <v/>
      </c>
      <c r="M1489">
        <f>IF(OR(L1489="",L1489=0),"",ROUND(100/L1489,0))</f>
        <v/>
      </c>
      <c r="N1489" t="inlineStr"/>
    </row>
    <row r="1490">
      <c r="A1490" t="n">
        <v>199</v>
      </c>
      <c r="B1490" t="inlineStr">
        <is>
          <t>[Dehkia] Mirumok Ruins</t>
        </is>
      </c>
      <c r="C1490" t="inlineStr">
        <is>
          <t>Crystal of Unyielding Spirit</t>
        </is>
      </c>
      <c r="D1490" t="n">
        <v>0.008771259999999999</v>
      </c>
      <c r="E1490" t="n">
        <v>6554.8</v>
      </c>
      <c r="F1490" s="3" t="n">
        <v>0.001338143040214804</v>
      </c>
      <c r="G1490" t="n">
        <v>747304</v>
      </c>
      <c r="H1490" s="3" t="n">
        <v>0.0009249816191583087</v>
      </c>
      <c r="I1490" s="3" t="n">
        <v>0.001872604210110552</v>
      </c>
      <c r="J1490" t="n">
        <v>33.7</v>
      </c>
      <c r="K1490">
        <f>IF(IFERROR(INDEX(Spots!$K$2:$K$96,MATCH(A1490,Spots!$A$2:$A$96,0)),"")="","",IFERROR(INDEX(Spots!$K$2:$K$96,MATCH(A1490,Spots!$A$2:$A$96,0)),""))</f>
        <v/>
      </c>
      <c r="L1490" s="3">
        <f>IF(OR(K1490="",F1490=""),"",F1490/1000*K1490*100)</f>
        <v/>
      </c>
      <c r="M1490">
        <f>IF(OR(L1490="",L1490=0),"",ROUND(100/L1490,0))</f>
        <v/>
      </c>
      <c r="N1490" t="inlineStr"/>
    </row>
    <row r="1491">
      <c r="A1491" t="n">
        <v>199</v>
      </c>
      <c r="B1491" t="inlineStr">
        <is>
          <t>[Dehkia] Mirumok Ruins</t>
        </is>
      </c>
      <c r="C1491" t="inlineStr">
        <is>
          <t>Forgotten Limbo Box</t>
        </is>
      </c>
      <c r="D1491" t="n">
        <v>0.0058206</v>
      </c>
      <c r="E1491" t="n">
        <v>6554.8</v>
      </c>
      <c r="F1491" s="3" t="n">
        <v>0.0008879904802587418</v>
      </c>
      <c r="G1491" t="n">
        <v>1126138</v>
      </c>
      <c r="H1491" s="3" t="n">
        <v>0.0005587433801177011</v>
      </c>
      <c r="I1491" s="3" t="n">
        <v>0.001339912068605434</v>
      </c>
      <c r="J1491" t="n">
        <v>22.4</v>
      </c>
      <c r="K1491">
        <f>IF(IFERROR(INDEX(Spots!$K$2:$K$96,MATCH(A1491,Spots!$A$2:$A$96,0)),"")="","",IFERROR(INDEX(Spots!$K$2:$K$96,MATCH(A1491,Spots!$A$2:$A$96,0)),""))</f>
        <v/>
      </c>
      <c r="L1491" s="3">
        <f>IF(OR(K1491="",F1491=""),"",F1491/1000*K1491*100)</f>
        <v/>
      </c>
      <c r="M1491">
        <f>IF(OR(L1491="",L1491=0),"",ROUND(100/L1491,0))</f>
        <v/>
      </c>
      <c r="N1491" t="inlineStr">
        <is>
          <t>low sample</t>
        </is>
      </c>
    </row>
    <row r="1492">
      <c r="A1492" t="n">
        <v>199</v>
      </c>
      <c r="B1492" t="inlineStr">
        <is>
          <t>[Dehkia] Mirumok Ruins</t>
        </is>
      </c>
      <c r="C1492" t="inlineStr">
        <is>
          <t>Any Artifact</t>
        </is>
      </c>
      <c r="D1492" t="n">
        <v>0.00251397</v>
      </c>
      <c r="E1492" t="n">
        <v>6554.8</v>
      </c>
      <c r="F1492" s="3" t="n">
        <v>0.000383531152743028</v>
      </c>
      <c r="G1492" t="n">
        <v>2607350</v>
      </c>
      <c r="H1492" s="3" t="n">
        <v>0.0001808384859844023</v>
      </c>
      <c r="I1492" s="3" t="n">
        <v>0.0007125739905140772</v>
      </c>
      <c r="J1492" t="n">
        <v>9.699999999999999</v>
      </c>
      <c r="K1492">
        <f>IF(IFERROR(INDEX(Spots!$K$2:$K$96,MATCH(A1492,Spots!$A$2:$A$96,0)),"")="","",IFERROR(INDEX(Spots!$K$2:$K$96,MATCH(A1492,Spots!$A$2:$A$96,0)),""))</f>
        <v/>
      </c>
      <c r="L1492" s="3">
        <f>IF(OR(K1492="",F1492=""),"",F1492/1000*K1492*100)</f>
        <v/>
      </c>
      <c r="M1492">
        <f>IF(OR(L1492="",L1492=0),"",ROUND(100/L1492,0))</f>
        <v/>
      </c>
      <c r="N1492" t="inlineStr">
        <is>
          <t>low sample</t>
        </is>
      </c>
    </row>
    <row r="1493">
      <c r="A1493" t="n">
        <v>199</v>
      </c>
      <c r="B1493" t="inlineStr">
        <is>
          <t>[Dehkia] Mirumok Ruins</t>
        </is>
      </c>
      <c r="C1493" t="inlineStr">
        <is>
          <t>Dehkia's Artifact - All Evasion</t>
        </is>
      </c>
      <c r="D1493" t="n">
        <v>0.00155549</v>
      </c>
      <c r="E1493" t="n">
        <v>6554.8</v>
      </c>
      <c r="F1493" s="3" t="n">
        <v>0.00023730548605602</v>
      </c>
      <c r="G1493" t="n">
        <v>4213978</v>
      </c>
      <c r="H1493" s="3" t="n">
        <v>8.645967752884853e-05</v>
      </c>
      <c r="I1493" s="3" t="n">
        <v>0.0005171985245780086</v>
      </c>
      <c r="J1493" t="n">
        <v>6</v>
      </c>
      <c r="K1493">
        <f>IF(IFERROR(INDEX(Spots!$K$2:$K$96,MATCH(A1493,Spots!$A$2:$A$96,0)),"")="","",IFERROR(INDEX(Spots!$K$2:$K$96,MATCH(A1493,Spots!$A$2:$A$96,0)),""))</f>
        <v/>
      </c>
      <c r="L1493" s="3">
        <f>IF(OR(K1493="",F1493=""),"",F1493/1000*K1493*100)</f>
        <v/>
      </c>
      <c r="M1493">
        <f>IF(OR(L1493="",L1493=0),"",ROUND(100/L1493,0))</f>
        <v/>
      </c>
      <c r="N1493" t="inlineStr">
        <is>
          <t>low sample</t>
        </is>
      </c>
    </row>
    <row r="1494">
      <c r="A1494" t="n">
        <v>199</v>
      </c>
      <c r="B1494" t="inlineStr">
        <is>
          <t>[Dehkia] Mirumok Ruins</t>
        </is>
      </c>
      <c r="C1494" t="inlineStr">
        <is>
          <t>Dehkia's Artifact - All Damage Reduction</t>
        </is>
      </c>
      <c r="D1494" t="n">
        <v>0.00095599</v>
      </c>
      <c r="E1494" t="n">
        <v>6554.8</v>
      </c>
      <c r="F1494" s="3" t="n">
        <v>0.0001458457923964118</v>
      </c>
      <c r="G1494" t="n">
        <v>6856557</v>
      </c>
      <c r="H1494" s="3" t="n">
        <v>3.628448298829637e-05</v>
      </c>
      <c r="I1494" s="3" t="n">
        <v>0.0003876470390939877</v>
      </c>
      <c r="J1494" t="n">
        <v>3.7</v>
      </c>
      <c r="K1494">
        <f>IF(IFERROR(INDEX(Spots!$K$2:$K$96,MATCH(A1494,Spots!$A$2:$A$96,0)),"")="","",IFERROR(INDEX(Spots!$K$2:$K$96,MATCH(A1494,Spots!$A$2:$A$96,0)),""))</f>
        <v/>
      </c>
      <c r="L1494" s="3">
        <f>IF(OR(K1494="",F1494=""),"",F1494/1000*K1494*100)</f>
        <v/>
      </c>
      <c r="M1494">
        <f>IF(OR(L1494="",L1494=0),"",ROUND(100/L1494,0))</f>
        <v/>
      </c>
      <c r="N1494" t="inlineStr">
        <is>
          <t>low sample</t>
        </is>
      </c>
    </row>
    <row r="1495">
      <c r="A1495" t="n">
        <v>199</v>
      </c>
      <c r="B1495" t="inlineStr">
        <is>
          <t>[Dehkia] Mirumok Ruins</t>
        </is>
      </c>
      <c r="C1495" t="inlineStr">
        <is>
          <t>Crystal of Precise Destruction</t>
        </is>
      </c>
      <c r="D1495" t="n">
        <v>0.00025638</v>
      </c>
      <c r="E1495" t="n">
        <v>6554.8</v>
      </c>
      <c r="F1495" s="3" t="n">
        <v>3.911332153536339e-05</v>
      </c>
      <c r="G1495" t="n">
        <v>25566737</v>
      </c>
      <c r="H1495" s="3" t="n">
        <v>4.704386042981662e-07</v>
      </c>
      <c r="I1495" s="3" t="n">
        <v>0.0002198248169719779</v>
      </c>
      <c r="J1495" t="n">
        <v>1</v>
      </c>
      <c r="K1495">
        <f>IF(IFERROR(INDEX(Spots!$K$2:$K$96,MATCH(A1495,Spots!$A$2:$A$96,0)),"")="","",IFERROR(INDEX(Spots!$K$2:$K$96,MATCH(A1495,Spots!$A$2:$A$96,0)),""))</f>
        <v/>
      </c>
      <c r="L1495" s="3">
        <f>IF(OR(K1495="",F1495=""),"",F1495/1000*K1495*100)</f>
        <v/>
      </c>
      <c r="M1495">
        <f>IF(OR(L1495="",L1495=0),"",ROUND(100/L1495,0))</f>
        <v/>
      </c>
      <c r="N1495" t="inlineStr">
        <is>
          <t>low sample</t>
        </is>
      </c>
    </row>
    <row r="1496">
      <c r="A1496" t="n">
        <v>199</v>
      </c>
      <c r="B1496" t="inlineStr">
        <is>
          <t>[Dehkia] Mirumok Ruins</t>
        </is>
      </c>
      <c r="C1496" t="inlineStr">
        <is>
          <t>Elkarr</t>
        </is>
      </c>
      <c r="D1496" t="n">
        <v>0.00014106</v>
      </c>
      <c r="E1496" t="n">
        <v>6554.8</v>
      </c>
      <c r="F1496" s="3" t="n">
        <v>2.152010740220907e-05</v>
      </c>
      <c r="G1496" t="n">
        <v>46468170</v>
      </c>
      <c r="H1496" s="3" t="n">
        <v>0</v>
      </c>
      <c r="I1496" s="3" t="n">
        <v>0.0001881739346306124</v>
      </c>
      <c r="J1496" t="n">
        <v>0.5</v>
      </c>
      <c r="K1496">
        <f>IF(IFERROR(INDEX(Spots!$K$2:$K$96,MATCH(A1496,Spots!$A$2:$A$96,0)),"")="","",IFERROR(INDEX(Spots!$K$2:$K$96,MATCH(A1496,Spots!$A$2:$A$96,0)),""))</f>
        <v/>
      </c>
      <c r="L1496" s="3">
        <f>IF(OR(K1496="",F1496=""),"",F1496/1000*K1496*100)</f>
        <v/>
      </c>
      <c r="M1496">
        <f>IF(OR(L1496="",L1496=0),"",ROUND(100/L1496,0))</f>
        <v/>
      </c>
      <c r="N1496" t="inlineStr">
        <is>
          <t>low sample</t>
        </is>
      </c>
    </row>
    <row r="1497">
      <c r="A1497" t="n">
        <v>144</v>
      </c>
      <c r="B1497" t="inlineStr">
        <is>
          <t>[Dehkia] Olun's Valley</t>
        </is>
      </c>
      <c r="C1497" t="inlineStr">
        <is>
          <t>Ancient Spirit Dust</t>
        </is>
      </c>
      <c r="D1497" t="n">
        <v>46.727</v>
      </c>
      <c r="E1497" t="n">
        <v>1652.4</v>
      </c>
      <c r="F1497" s="3" t="n">
        <v>28.27826192205277</v>
      </c>
      <c r="G1497" t="n">
        <v>35</v>
      </c>
      <c r="H1497" s="3" t="n">
        <v>27.06556577513564</v>
      </c>
      <c r="I1497" s="3" t="n">
        <v>29.53129378786535</v>
      </c>
      <c r="J1497" t="n">
        <v>2044.3</v>
      </c>
      <c r="K1497">
        <f>IF(IFERROR(INDEX(Spots!$K$2:$K$96,MATCH(A1497,Spots!$A$2:$A$96,0)),"")="","",IFERROR(INDEX(Spots!$K$2:$K$96,MATCH(A1497,Spots!$A$2:$A$96,0)),""))</f>
        <v/>
      </c>
      <c r="L1497" s="3">
        <f>IF(OR(K1497="",F1497=""),"",F1497/1000*K1497*100)</f>
        <v/>
      </c>
      <c r="M1497">
        <f>IF(OR(L1497="",L1497=0),"",ROUND(100/L1497,0))</f>
        <v/>
      </c>
      <c r="N1497" t="inlineStr">
        <is>
          <t>low sample</t>
        </is>
      </c>
    </row>
    <row r="1498">
      <c r="A1498" t="n">
        <v>144</v>
      </c>
      <c r="B1498" t="inlineStr">
        <is>
          <t>[Dehkia] Olun's Valley</t>
        </is>
      </c>
      <c r="C1498" t="inlineStr">
        <is>
          <t>Black Stone</t>
        </is>
      </c>
      <c r="D1498" t="n">
        <v>34.442</v>
      </c>
      <c r="E1498" t="n">
        <v>1652.4</v>
      </c>
      <c r="F1498" s="3" t="n">
        <v>20.84362139917695</v>
      </c>
      <c r="G1498" t="n">
        <v>48</v>
      </c>
      <c r="H1498" s="3" t="n">
        <v>19.80434175909224</v>
      </c>
      <c r="I1498" s="3" t="n">
        <v>21.92328563688607</v>
      </c>
      <c r="J1498" t="n">
        <v>1506.8</v>
      </c>
      <c r="K1498">
        <f>IF(IFERROR(INDEX(Spots!$K$2:$K$96,MATCH(A1498,Spots!$A$2:$A$96,0)),"")="","",IFERROR(INDEX(Spots!$K$2:$K$96,MATCH(A1498,Spots!$A$2:$A$96,0)),""))</f>
        <v/>
      </c>
      <c r="L1498" s="3">
        <f>IF(OR(K1498="",F1498=""),"",F1498/1000*K1498*100)</f>
        <v/>
      </c>
      <c r="M1498">
        <f>IF(OR(L1498="",L1498=0),"",ROUND(100/L1498,0))</f>
        <v/>
      </c>
      <c r="N1498" t="inlineStr">
        <is>
          <t>low sample</t>
        </is>
      </c>
    </row>
    <row r="1499">
      <c r="A1499" t="n">
        <v>144</v>
      </c>
      <c r="B1499" t="inlineStr">
        <is>
          <t>[Dehkia] Olun's Valley</t>
        </is>
      </c>
      <c r="C1499" t="inlineStr">
        <is>
          <t>Caphras Stone</t>
        </is>
      </c>
      <c r="D1499" t="n">
        <v>16.742</v>
      </c>
      <c r="E1499" t="n">
        <v>1652.4</v>
      </c>
      <c r="F1499" s="3" t="n">
        <v>10.13192931493585</v>
      </c>
      <c r="G1499" t="n">
        <v>99</v>
      </c>
      <c r="H1499" s="3" t="n">
        <v>9.411347199422734</v>
      </c>
      <c r="I1499" s="3" t="n">
        <v>10.89304557740269</v>
      </c>
      <c r="J1499" t="n">
        <v>732.5</v>
      </c>
      <c r="K1499">
        <f>IF(IFERROR(INDEX(Spots!$K$2:$K$96,MATCH(A1499,Spots!$A$2:$A$96,0)),"")="","",IFERROR(INDEX(Spots!$K$2:$K$96,MATCH(A1499,Spots!$A$2:$A$96,0)),""))</f>
        <v/>
      </c>
      <c r="L1499" s="3">
        <f>IF(OR(K1499="",F1499=""),"",F1499/1000*K1499*100)</f>
        <v/>
      </c>
      <c r="M1499">
        <f>IF(OR(L1499="",L1499=0),"",ROUND(100/L1499,0))</f>
        <v/>
      </c>
      <c r="N1499" t="inlineStr">
        <is>
          <t>low sample</t>
        </is>
      </c>
    </row>
    <row r="1500">
      <c r="A1500" t="n">
        <v>144</v>
      </c>
      <c r="B1500" t="inlineStr">
        <is>
          <t>[Dehkia] Olun's Valley</t>
        </is>
      </c>
      <c r="C1500" t="inlineStr">
        <is>
          <t>Quturan's Ashen Leaf</t>
        </is>
      </c>
      <c r="D1500" t="n">
        <v>1.428004</v>
      </c>
      <c r="E1500" t="n">
        <v>1652.4</v>
      </c>
      <c r="F1500" s="3" t="n">
        <v>0.8641999515855725</v>
      </c>
      <c r="G1500" t="n">
        <v>1157</v>
      </c>
      <c r="H1500" s="3" t="n">
        <v>0.6632552647577609</v>
      </c>
      <c r="I1500" s="3" t="n">
        <v>1.106846142752451</v>
      </c>
      <c r="J1500" t="n">
        <v>62.5</v>
      </c>
      <c r="K1500">
        <f>IF(IFERROR(INDEX(Spots!$K$2:$K$96,MATCH(A1500,Spots!$A$2:$A$96,0)),"")="","",IFERROR(INDEX(Spots!$K$2:$K$96,MATCH(A1500,Spots!$A$2:$A$96,0)),""))</f>
        <v/>
      </c>
      <c r="L1500" s="3">
        <f>IF(OR(K1500="",F1500=""),"",F1500/1000*K1500*100)</f>
        <v/>
      </c>
      <c r="M1500">
        <f>IF(OR(L1500="",L1500=0),"",ROUND(100/L1500,0))</f>
        <v/>
      </c>
      <c r="N1500" t="inlineStr">
        <is>
          <t>low sample</t>
        </is>
      </c>
    </row>
    <row r="1501">
      <c r="A1501" t="n">
        <v>144</v>
      </c>
      <c r="B1501" t="inlineStr">
        <is>
          <t>[Dehkia] Olun's Valley</t>
        </is>
      </c>
      <c r="C1501" t="inlineStr">
        <is>
          <t>Venomous Night Fang</t>
        </is>
      </c>
      <c r="D1501" t="n">
        <v>1.190315</v>
      </c>
      <c r="E1501" t="n">
        <v>1652.4</v>
      </c>
      <c r="F1501" s="3" t="n">
        <v>0.7203552408617768</v>
      </c>
      <c r="G1501" t="n">
        <v>1388</v>
      </c>
      <c r="H1501" s="3" t="n">
        <v>0.5380777213255932</v>
      </c>
      <c r="I1501" s="3" t="n">
        <v>0.9444871031625669</v>
      </c>
      <c r="J1501" t="n">
        <v>52.1</v>
      </c>
      <c r="K1501">
        <f>IF(IFERROR(INDEX(Spots!$K$2:$K$96,MATCH(A1501,Spots!$A$2:$A$96,0)),"")="","",IFERROR(INDEX(Spots!$K$2:$K$96,MATCH(A1501,Spots!$A$2:$A$96,0)),""))</f>
        <v/>
      </c>
      <c r="L1501" s="3">
        <f>IF(OR(K1501="",F1501=""),"",F1501/1000*K1501*100)</f>
        <v/>
      </c>
      <c r="M1501">
        <f>IF(OR(L1501="",L1501=0),"",ROUND(100/L1501,0))</f>
        <v/>
      </c>
      <c r="N1501" t="inlineStr">
        <is>
          <t>low sample</t>
        </is>
      </c>
    </row>
    <row r="1502">
      <c r="A1502" t="n">
        <v>144</v>
      </c>
      <c r="B1502" t="inlineStr">
        <is>
          <t>[Dehkia] Olun's Valley</t>
        </is>
      </c>
      <c r="C1502" t="inlineStr">
        <is>
          <t>Void Tainted Whispers</t>
        </is>
      </c>
      <c r="D1502" t="n">
        <v>0.58986166</v>
      </c>
      <c r="E1502" t="n">
        <v>1652.4</v>
      </c>
      <c r="F1502" s="3" t="n">
        <v>0.3569726821592834</v>
      </c>
      <c r="G1502" t="n">
        <v>2801</v>
      </c>
      <c r="H1502" s="3" t="n">
        <v>0.2327131697877044</v>
      </c>
      <c r="I1502" s="3" t="n">
        <v>0.5238098058887438</v>
      </c>
      <c r="J1502" t="n">
        <v>25.8</v>
      </c>
      <c r="K1502">
        <f>IF(IFERROR(INDEX(Spots!$K$2:$K$96,MATCH(A1502,Spots!$A$2:$A$96,0)),"")="","",IFERROR(INDEX(Spots!$K$2:$K$96,MATCH(A1502,Spots!$A$2:$A$96,0)),""))</f>
        <v/>
      </c>
      <c r="L1502" s="3">
        <f>IF(OR(K1502="",F1502=""),"",F1502/1000*K1502*100)</f>
        <v/>
      </c>
      <c r="M1502">
        <f>IF(OR(L1502="",L1502=0),"",ROUND(100/L1502,0))</f>
        <v/>
      </c>
      <c r="N1502" t="inlineStr">
        <is>
          <t>low sample</t>
        </is>
      </c>
    </row>
    <row r="1503">
      <c r="A1503" t="n">
        <v>144</v>
      </c>
      <c r="B1503" t="inlineStr">
        <is>
          <t>[Dehkia] Olun's Valley</t>
        </is>
      </c>
      <c r="C1503" t="inlineStr">
        <is>
          <t>Imperfect Lightstone of Earth</t>
        </is>
      </c>
      <c r="D1503" t="n">
        <v>0.42826736</v>
      </c>
      <c r="E1503" t="n">
        <v>1652.4</v>
      </c>
      <c r="F1503" s="3" t="n">
        <v>0.2591789881384652</v>
      </c>
      <c r="G1503" t="n">
        <v>3858</v>
      </c>
      <c r="H1503" s="3" t="n">
        <v>0.1553430504527509</v>
      </c>
      <c r="I1503" s="3" t="n">
        <v>0.4060042883503376</v>
      </c>
      <c r="J1503" t="n">
        <v>18.7</v>
      </c>
      <c r="K1503">
        <f>IF(IFERROR(INDEX(Spots!$K$2:$K$96,MATCH(A1503,Spots!$A$2:$A$96,0)),"")="","",IFERROR(INDEX(Spots!$K$2:$K$96,MATCH(A1503,Spots!$A$2:$A$96,0)),""))</f>
        <v/>
      </c>
      <c r="L1503" s="3">
        <f>IF(OR(K1503="",F1503=""),"",F1503/1000*K1503*100)</f>
        <v/>
      </c>
      <c r="M1503">
        <f>IF(OR(L1503="",L1503=0),"",ROUND(100/L1503,0))</f>
        <v/>
      </c>
      <c r="N1503" t="inlineStr">
        <is>
          <t>low sample</t>
        </is>
      </c>
    </row>
    <row r="1504">
      <c r="A1504" t="n">
        <v>144</v>
      </c>
      <c r="B1504" t="inlineStr">
        <is>
          <t>[Dehkia] Olun's Valley</t>
        </is>
      </c>
      <c r="C1504" t="inlineStr">
        <is>
          <t>Dehkia's Fragment</t>
        </is>
      </c>
      <c r="D1504" t="n">
        <v>0.28494332</v>
      </c>
      <c r="E1504" t="n">
        <v>1652.4</v>
      </c>
      <c r="F1504" s="3" t="n">
        <v>0.1724420963447107</v>
      </c>
      <c r="G1504" t="n">
        <v>5799</v>
      </c>
      <c r="H1504" s="3" t="n">
        <v>0.09030750637085075</v>
      </c>
      <c r="I1504" s="3" t="n">
        <v>0.2981766762478967</v>
      </c>
      <c r="J1504" t="n">
        <v>12.5</v>
      </c>
      <c r="K1504">
        <f>IF(IFERROR(INDEX(Spots!$K$2:$K$96,MATCH(A1504,Spots!$A$2:$A$96,0)),"")="","",IFERROR(INDEX(Spots!$K$2:$K$96,MATCH(A1504,Spots!$A$2:$A$96,0)),""))</f>
        <v/>
      </c>
      <c r="L1504" s="3">
        <f>IF(OR(K1504="",F1504=""),"",F1504/1000*K1504*100)</f>
        <v/>
      </c>
      <c r="M1504">
        <f>IF(OR(L1504="",L1504=0),"",ROUND(100/L1504,0))</f>
        <v/>
      </c>
      <c r="N1504" t="inlineStr">
        <is>
          <t>low sample</t>
        </is>
      </c>
    </row>
    <row r="1505">
      <c r="A1505" t="n">
        <v>144</v>
      </c>
      <c r="B1505" t="inlineStr">
        <is>
          <t>[Dehkia] Olun's Valley</t>
        </is>
      </c>
      <c r="C1505" t="inlineStr">
        <is>
          <t>Olucas</t>
        </is>
      </c>
      <c r="D1505" t="n">
        <v>0.25779088</v>
      </c>
      <c r="E1505" t="n">
        <v>1652.4</v>
      </c>
      <c r="F1505" s="3" t="n">
        <v>0.1560099733720649</v>
      </c>
      <c r="G1505" t="n">
        <v>6410</v>
      </c>
      <c r="H1505" s="3" t="n">
        <v>0.07856841220632205</v>
      </c>
      <c r="I1505" s="3" t="n">
        <v>0.2772175725968711</v>
      </c>
      <c r="J1505" t="n">
        <v>11.3</v>
      </c>
      <c r="K1505">
        <f>IF(IFERROR(INDEX(Spots!$K$2:$K$96,MATCH(A1505,Spots!$A$2:$A$96,0)),"")="","",IFERROR(INDEX(Spots!$K$2:$K$96,MATCH(A1505,Spots!$A$2:$A$96,0)),""))</f>
        <v/>
      </c>
      <c r="L1505" s="3">
        <f>IF(OR(K1505="",F1505=""),"",F1505/1000*K1505*100)</f>
        <v/>
      </c>
      <c r="M1505">
        <f>IF(OR(L1505="",L1505=0),"",ROUND(100/L1505,0))</f>
        <v/>
      </c>
      <c r="N1505" t="inlineStr">
        <is>
          <t>low sample</t>
        </is>
      </c>
    </row>
    <row r="1506">
      <c r="A1506" t="n">
        <v>144</v>
      </c>
      <c r="B1506" t="inlineStr">
        <is>
          <t>[Dehkia] Olun's Valley</t>
        </is>
      </c>
      <c r="C1506" t="inlineStr">
        <is>
          <t>Deboreka Earring</t>
        </is>
      </c>
      <c r="D1506" t="n">
        <v>0.11046992</v>
      </c>
      <c r="E1506" t="n">
        <v>1652.4</v>
      </c>
      <c r="F1506" s="3" t="n">
        <v>0.06685422415879932</v>
      </c>
      <c r="G1506" t="n">
        <v>14958</v>
      </c>
      <c r="H1506" s="3" t="n">
        <v>0.02100509731931054</v>
      </c>
      <c r="I1506" s="3" t="n">
        <v>0.1581458265716164</v>
      </c>
      <c r="J1506" t="n">
        <v>4.8</v>
      </c>
      <c r="K1506">
        <f>IF(IFERROR(INDEX(Spots!$K$2:$K$96,MATCH(A1506,Spots!$A$2:$A$96,0)),"")="","",IFERROR(INDEX(Spots!$K$2:$K$96,MATCH(A1506,Spots!$A$2:$A$96,0)),""))</f>
        <v/>
      </c>
      <c r="L1506" s="3">
        <f>IF(OR(K1506="",F1506=""),"",F1506/1000*K1506*100)</f>
        <v/>
      </c>
      <c r="M1506">
        <f>IF(OR(L1506="",L1506=0),"",ROUND(100/L1506,0))</f>
        <v/>
      </c>
      <c r="N1506" t="inlineStr">
        <is>
          <t>low sample</t>
        </is>
      </c>
    </row>
    <row r="1507">
      <c r="A1507" t="n">
        <v>144</v>
      </c>
      <c r="B1507" t="inlineStr">
        <is>
          <t>[Dehkia] Olun's Valley</t>
        </is>
      </c>
      <c r="C1507" t="inlineStr">
        <is>
          <t>Imperfect Lightstone of Wind</t>
        </is>
      </c>
      <c r="D1507" t="n">
        <v>0.07968782000000001</v>
      </c>
      <c r="E1507" t="n">
        <v>1652.4</v>
      </c>
      <c r="F1507" s="3" t="n">
        <v>0.04822550229968531</v>
      </c>
      <c r="G1507" t="n">
        <v>20736</v>
      </c>
      <c r="H1507" s="3" t="n">
        <v>0.01139504847444367</v>
      </c>
      <c r="I1507" s="3" t="n">
        <v>0.1312731084743278</v>
      </c>
      <c r="J1507" t="n">
        <v>3.5</v>
      </c>
      <c r="K1507">
        <f>IF(IFERROR(INDEX(Spots!$K$2:$K$96,MATCH(A1507,Spots!$A$2:$A$96,0)),"")="","",IFERROR(INDEX(Spots!$K$2:$K$96,MATCH(A1507,Spots!$A$2:$A$96,0)),""))</f>
        <v/>
      </c>
      <c r="L1507" s="3">
        <f>IF(OR(K1507="",F1507=""),"",F1507/1000*K1507*100)</f>
        <v/>
      </c>
      <c r="M1507">
        <f>IF(OR(L1507="",L1507=0),"",ROUND(100/L1507,0))</f>
        <v/>
      </c>
      <c r="N1507" t="inlineStr">
        <is>
          <t>low sample</t>
        </is>
      </c>
    </row>
    <row r="1508">
      <c r="A1508" t="n">
        <v>144</v>
      </c>
      <c r="B1508" t="inlineStr">
        <is>
          <t>[Dehkia] Olun's Valley</t>
        </is>
      </c>
      <c r="C1508" t="inlineStr">
        <is>
          <t>Olun's Valley Paint</t>
        </is>
      </c>
      <c r="D1508" t="n">
        <v>0.05622354</v>
      </c>
      <c r="E1508" t="n">
        <v>1652.4</v>
      </c>
      <c r="F1508" s="3" t="n">
        <v>0.03402538126361656</v>
      </c>
      <c r="G1508" t="n">
        <v>29390</v>
      </c>
      <c r="H1508" s="3" t="n">
        <v>0.005306149975771064</v>
      </c>
      <c r="I1508" s="3" t="n">
        <v>0.1098546086383907</v>
      </c>
      <c r="J1508" t="n">
        <v>2.5</v>
      </c>
      <c r="K1508">
        <f>IF(IFERROR(INDEX(Spots!$K$2:$K$96,MATCH(A1508,Spots!$A$2:$A$96,0)),"")="","",IFERROR(INDEX(Spots!$K$2:$K$96,MATCH(A1508,Spots!$A$2:$A$96,0)),""))</f>
        <v/>
      </c>
      <c r="L1508" s="3">
        <f>IF(OR(K1508="",F1508=""),"",F1508/1000*K1508*100)</f>
        <v/>
      </c>
      <c r="M1508">
        <f>IF(OR(L1508="",L1508=0),"",ROUND(100/L1508,0))</f>
        <v/>
      </c>
      <c r="N1508" t="inlineStr">
        <is>
          <t>low sample</t>
        </is>
      </c>
    </row>
    <row r="1509">
      <c r="A1509" t="n">
        <v>144</v>
      </c>
      <c r="B1509" t="inlineStr">
        <is>
          <t>[Dehkia] Olun's Valley</t>
        </is>
      </c>
      <c r="C1509" t="inlineStr">
        <is>
          <t>Imperfect Lightstone of Fire</t>
        </is>
      </c>
      <c r="D1509" t="n">
        <v>0.04569278</v>
      </c>
      <c r="E1509" t="n">
        <v>1652.4</v>
      </c>
      <c r="F1509" s="3" t="n">
        <v>0.02765237230694747</v>
      </c>
      <c r="G1509" t="n">
        <v>36163</v>
      </c>
      <c r="H1509" s="3" t="n">
        <v>0.003102942752674026</v>
      </c>
      <c r="I1509" s="3" t="n">
        <v>0.09986491922202799</v>
      </c>
      <c r="J1509" t="n">
        <v>2</v>
      </c>
      <c r="K1509">
        <f>IF(IFERROR(INDEX(Spots!$K$2:$K$96,MATCH(A1509,Spots!$A$2:$A$96,0)),"")="","",IFERROR(INDEX(Spots!$K$2:$K$96,MATCH(A1509,Spots!$A$2:$A$96,0)),""))</f>
        <v/>
      </c>
      <c r="L1509" s="3">
        <f>IF(OR(K1509="",F1509=""),"",F1509/1000*K1509*100)</f>
        <v/>
      </c>
      <c r="M1509">
        <f>IF(OR(L1509="",L1509=0),"",ROUND(100/L1509,0))</f>
        <v/>
      </c>
      <c r="N1509" t="inlineStr">
        <is>
          <t>low sample</t>
        </is>
      </c>
    </row>
    <row r="1510">
      <c r="A1510" t="n">
        <v>144</v>
      </c>
      <c r="B1510" t="inlineStr">
        <is>
          <t>[Dehkia] Olun's Valley</t>
        </is>
      </c>
      <c r="C1510" t="inlineStr">
        <is>
          <t>Any Artifact</t>
        </is>
      </c>
      <c r="D1510" t="n">
        <v>0.02191954</v>
      </c>
      <c r="E1510" t="n">
        <v>1652.4</v>
      </c>
      <c r="F1510" s="3" t="n">
        <v>0.01326527475187606</v>
      </c>
      <c r="G1510" t="n">
        <v>75385</v>
      </c>
      <c r="H1510" s="3" t="n">
        <v>0.0001355038183094644</v>
      </c>
      <c r="I1510" s="3" t="n">
        <v>0.07597279382737525</v>
      </c>
      <c r="J1510" t="n">
        <v>1</v>
      </c>
      <c r="K1510">
        <f>IF(IFERROR(INDEX(Spots!$K$2:$K$96,MATCH(A1510,Spots!$A$2:$A$96,0)),"")="","",IFERROR(INDEX(Spots!$K$2:$K$96,MATCH(A1510,Spots!$A$2:$A$96,0)),""))</f>
        <v/>
      </c>
      <c r="L1510" s="3">
        <f>IF(OR(K1510="",F1510=""),"",F1510/1000*K1510*100)</f>
        <v/>
      </c>
      <c r="M1510">
        <f>IF(OR(L1510="",L1510=0),"",ROUND(100/L1510,0))</f>
        <v/>
      </c>
      <c r="N1510" t="inlineStr">
        <is>
          <t>low sample</t>
        </is>
      </c>
    </row>
    <row r="1511">
      <c r="A1511" t="n">
        <v>144</v>
      </c>
      <c r="B1511" t="inlineStr">
        <is>
          <t>[Dehkia] Olun's Valley</t>
        </is>
      </c>
      <c r="C1511" t="inlineStr">
        <is>
          <t>Quturan's Right Lung</t>
        </is>
      </c>
      <c r="D1511" t="n">
        <v>0.00507936</v>
      </c>
      <c r="E1511" t="n">
        <v>1652.4</v>
      </c>
      <c r="F1511" s="3" t="n">
        <v>0.003073928830791576</v>
      </c>
      <c r="G1511" t="n">
        <v>325317</v>
      </c>
      <c r="H1511" s="3" t="n">
        <v>0</v>
      </c>
      <c r="I1511" s="3" t="n">
        <v>0.05706591989703648</v>
      </c>
      <c r="J1511" t="n">
        <v>0.2</v>
      </c>
      <c r="K1511">
        <f>IF(IFERROR(INDEX(Spots!$K$2:$K$96,MATCH(A1511,Spots!$A$2:$A$96,0)),"")="","",IFERROR(INDEX(Spots!$K$2:$K$96,MATCH(A1511,Spots!$A$2:$A$96,0)),""))</f>
        <v/>
      </c>
      <c r="L1511" s="3">
        <f>IF(OR(K1511="",F1511=""),"",F1511/1000*K1511*100)</f>
        <v/>
      </c>
      <c r="M1511">
        <f>IF(OR(L1511="",L1511=0),"",ROUND(100/L1511,0))</f>
        <v/>
      </c>
      <c r="N1511" t="inlineStr">
        <is>
          <t>low sample</t>
        </is>
      </c>
    </row>
    <row r="1512">
      <c r="A1512" t="n">
        <v>144</v>
      </c>
      <c r="B1512" t="inlineStr">
        <is>
          <t>[Dehkia] Olun's Valley</t>
        </is>
      </c>
      <c r="C1512" t="inlineStr">
        <is>
          <t>Al Yurad's Ring Piece</t>
        </is>
      </c>
      <c r="D1512" t="n">
        <v>0</v>
      </c>
      <c r="E1512" t="n">
        <v>1652.4</v>
      </c>
      <c r="F1512" s="3" t="n">
        <v>0</v>
      </c>
      <c r="H1512" s="3" t="n">
        <v>0</v>
      </c>
      <c r="I1512" s="3" t="n">
        <v>0.05102880658436214</v>
      </c>
      <c r="J1512" t="n">
        <v>0</v>
      </c>
      <c r="K1512">
        <f>IF(IFERROR(INDEX(Spots!$K$2:$K$96,MATCH(A1512,Spots!$A$2:$A$96,0)),"")="","",IFERROR(INDEX(Spots!$K$2:$K$96,MATCH(A1512,Spots!$A$2:$A$96,0)),""))</f>
        <v/>
      </c>
      <c r="L1512" s="3">
        <f>IF(OR(K1512="",F1512=""),"",F1512/1000*K1512*100)</f>
        <v/>
      </c>
      <c r="M1512">
        <f>IF(OR(L1512="",L1512=0),"",ROUND(100/L1512,0))</f>
        <v/>
      </c>
      <c r="N1512" t="inlineStr">
        <is>
          <t>no drops recorded</t>
        </is>
      </c>
    </row>
    <row r="1513">
      <c r="A1513" t="n">
        <v>144</v>
      </c>
      <c r="B1513" t="inlineStr">
        <is>
          <t>[Dehkia] Olun's Valley</t>
        </is>
      </c>
      <c r="C1513" t="inlineStr">
        <is>
          <t>Forgotten Limbo Box</t>
        </is>
      </c>
      <c r="D1513" t="n">
        <v>0</v>
      </c>
      <c r="E1513" t="n">
        <v>1652.4</v>
      </c>
      <c r="F1513" s="3" t="n">
        <v>0</v>
      </c>
      <c r="H1513" s="3" t="n">
        <v>0</v>
      </c>
      <c r="I1513" s="3" t="n">
        <v>0.05102880658436214</v>
      </c>
      <c r="J1513" t="n">
        <v>0</v>
      </c>
      <c r="K1513">
        <f>IF(IFERROR(INDEX(Spots!$K$2:$K$96,MATCH(A1513,Spots!$A$2:$A$96,0)),"")="","",IFERROR(INDEX(Spots!$K$2:$K$96,MATCH(A1513,Spots!$A$2:$A$96,0)),""))</f>
        <v/>
      </c>
      <c r="L1513" s="3">
        <f>IF(OR(K1513="",F1513=""),"",F1513/1000*K1513*100)</f>
        <v/>
      </c>
      <c r="M1513">
        <f>IF(OR(L1513="",L1513=0),"",ROUND(100/L1513,0))</f>
        <v/>
      </c>
      <c r="N1513" t="inlineStr">
        <is>
          <t>no drops recorded</t>
        </is>
      </c>
    </row>
    <row r="1514">
      <c r="A1514" t="n">
        <v>159</v>
      </c>
      <c r="B1514" t="inlineStr">
        <is>
          <t>[Dehkia] Pila Ku Jail</t>
        </is>
      </c>
      <c r="C1514" t="inlineStr">
        <is>
          <t>Black Stone</t>
        </is>
      </c>
      <c r="D1514" t="n">
        <v>30.315</v>
      </c>
      <c r="E1514" t="n">
        <v>7802.2</v>
      </c>
      <c r="F1514" s="3" t="n">
        <v>3.885442567480967</v>
      </c>
      <c r="G1514" t="n">
        <v>257</v>
      </c>
      <c r="H1514" s="3" t="n">
        <v>3.858279667121241</v>
      </c>
      <c r="I1514" s="3" t="n">
        <v>3.912749210222105</v>
      </c>
      <c r="J1514" t="n">
        <v>78331.89999999999</v>
      </c>
      <c r="K1514">
        <f>IF(IFERROR(INDEX(Spots!$K$2:$K$96,MATCH(A1514,Spots!$A$2:$A$96,0)),"")="","",IFERROR(INDEX(Spots!$K$2:$K$96,MATCH(A1514,Spots!$A$2:$A$96,0)),""))</f>
        <v/>
      </c>
      <c r="L1514" s="3">
        <f>IF(OR(K1514="",F1514=""),"",F1514/1000*K1514*100)</f>
        <v/>
      </c>
      <c r="M1514">
        <f>IF(OR(L1514="",L1514=0),"",ROUND(100/L1514,0))</f>
        <v/>
      </c>
      <c r="N1514" t="inlineStr"/>
    </row>
    <row r="1515">
      <c r="A1515" t="n">
        <v>159</v>
      </c>
      <c r="B1515" t="inlineStr">
        <is>
          <t>[Dehkia] Pila Ku Jail</t>
        </is>
      </c>
      <c r="C1515" t="inlineStr">
        <is>
          <t>Ancient Spirit Dust</t>
        </is>
      </c>
      <c r="D1515" t="n">
        <v>25.142</v>
      </c>
      <c r="E1515" t="n">
        <v>7802.2</v>
      </c>
      <c r="F1515" s="3" t="n">
        <v>3.222424444387481</v>
      </c>
      <c r="G1515" t="n">
        <v>310</v>
      </c>
      <c r="H1515" s="3" t="n">
        <v>3.197691632138366</v>
      </c>
      <c r="I1515" s="3" t="n">
        <v>3.247301016023088</v>
      </c>
      <c r="J1515" t="n">
        <v>64965.3</v>
      </c>
      <c r="K1515">
        <f>IF(IFERROR(INDEX(Spots!$K$2:$K$96,MATCH(A1515,Spots!$A$2:$A$96,0)),"")="","",IFERROR(INDEX(Spots!$K$2:$K$96,MATCH(A1515,Spots!$A$2:$A$96,0)),""))</f>
        <v/>
      </c>
      <c r="L1515" s="3">
        <f>IF(OR(K1515="",F1515=""),"",F1515/1000*K1515*100)</f>
        <v/>
      </c>
      <c r="M1515">
        <f>IF(OR(L1515="",L1515=0),"",ROUND(100/L1515,0))</f>
        <v/>
      </c>
      <c r="N1515" t="inlineStr"/>
    </row>
    <row r="1516">
      <c r="A1516" t="n">
        <v>159</v>
      </c>
      <c r="B1516" t="inlineStr">
        <is>
          <t>[Dehkia] Pila Ku Jail</t>
        </is>
      </c>
      <c r="C1516" t="inlineStr">
        <is>
          <t>Scroll Written in Ancient Language</t>
        </is>
      </c>
      <c r="D1516" t="n">
        <v>12.766</v>
      </c>
      <c r="E1516" t="n">
        <v>7802.2</v>
      </c>
      <c r="F1516" s="3" t="n">
        <v>1.636205172899951</v>
      </c>
      <c r="G1516" t="n">
        <v>611</v>
      </c>
      <c r="H1516" s="3" t="n">
        <v>1.618594839261891</v>
      </c>
      <c r="I1516" s="3" t="n">
        <v>1.653959342697124</v>
      </c>
      <c r="J1516" t="n">
        <v>32986.5</v>
      </c>
      <c r="K1516">
        <f>IF(IFERROR(INDEX(Spots!$K$2:$K$96,MATCH(A1516,Spots!$A$2:$A$96,0)),"")="","",IFERROR(INDEX(Spots!$K$2:$K$96,MATCH(A1516,Spots!$A$2:$A$96,0)),""))</f>
        <v/>
      </c>
      <c r="L1516" s="3">
        <f>IF(OR(K1516="",F1516=""),"",F1516/1000*K1516*100)</f>
        <v/>
      </c>
      <c r="M1516">
        <f>IF(OR(L1516="",L1516=0),"",ROUND(100/L1516,0))</f>
        <v/>
      </c>
      <c r="N1516" t="inlineStr"/>
    </row>
    <row r="1517">
      <c r="A1517" t="n">
        <v>159</v>
      </c>
      <c r="B1517" t="inlineStr">
        <is>
          <t>[Dehkia] Pila Ku Jail</t>
        </is>
      </c>
      <c r="C1517" t="inlineStr">
        <is>
          <t>Caphras Stone</t>
        </is>
      </c>
      <c r="D1517" t="n">
        <v>12.193</v>
      </c>
      <c r="E1517" t="n">
        <v>7802.2</v>
      </c>
      <c r="F1517" s="3" t="n">
        <v>1.562764348517085</v>
      </c>
      <c r="G1517" t="n">
        <v>640</v>
      </c>
      <c r="H1517" s="3" t="n">
        <v>1.545554839195444</v>
      </c>
      <c r="I1517" s="3" t="n">
        <v>1.580117700199553</v>
      </c>
      <c r="J1517" t="n">
        <v>31505.9</v>
      </c>
      <c r="K1517">
        <f>IF(IFERROR(INDEX(Spots!$K$2:$K$96,MATCH(A1517,Spots!$A$2:$A$96,0)),"")="","",IFERROR(INDEX(Spots!$K$2:$K$96,MATCH(A1517,Spots!$A$2:$A$96,0)),""))</f>
        <v/>
      </c>
      <c r="L1517" s="3">
        <f>IF(OR(K1517="",F1517=""),"",F1517/1000*K1517*100)</f>
        <v/>
      </c>
      <c r="M1517">
        <f>IF(OR(L1517="",L1517=0),"",ROUND(100/L1517,0))</f>
        <v/>
      </c>
      <c r="N1517" t="inlineStr"/>
    </row>
    <row r="1518">
      <c r="A1518" t="n">
        <v>159</v>
      </c>
      <c r="B1518" t="inlineStr">
        <is>
          <t>[Dehkia] Pila Ku Jail</t>
        </is>
      </c>
      <c r="C1518" t="inlineStr">
        <is>
          <t>Trace of Nature</t>
        </is>
      </c>
      <c r="D1518" t="n">
        <v>7.71632</v>
      </c>
      <c r="E1518" t="n">
        <v>7802.2</v>
      </c>
      <c r="F1518" s="3" t="n">
        <v>0.9889928481710286</v>
      </c>
      <c r="G1518" t="n">
        <v>1011</v>
      </c>
      <c r="H1518" s="3" t="n">
        <v>0.9753120068246257</v>
      </c>
      <c r="I1518" s="3" t="n">
        <v>1.002817602078887</v>
      </c>
      <c r="J1518" t="n">
        <v>19938.5</v>
      </c>
      <c r="K1518">
        <f>IF(IFERROR(INDEX(Spots!$K$2:$K$96,MATCH(A1518,Spots!$A$2:$A$96,0)),"")="","",IFERROR(INDEX(Spots!$K$2:$K$96,MATCH(A1518,Spots!$A$2:$A$96,0)),""))</f>
        <v/>
      </c>
      <c r="L1518" s="3">
        <f>IF(OR(K1518="",F1518=""),"",F1518/1000*K1518*100)</f>
        <v/>
      </c>
      <c r="M1518">
        <f>IF(OR(L1518="",L1518=0),"",ROUND(100/L1518,0))</f>
        <v/>
      </c>
      <c r="N1518" t="inlineStr"/>
    </row>
    <row r="1519">
      <c r="A1519" t="n">
        <v>159</v>
      </c>
      <c r="B1519" t="inlineStr">
        <is>
          <t>[Dehkia] Pila Ku Jail</t>
        </is>
      </c>
      <c r="C1519" t="inlineStr">
        <is>
          <t>Soiled Sicil's Necklace</t>
        </is>
      </c>
      <c r="D1519" t="n">
        <v>2.068076</v>
      </c>
      <c r="E1519" t="n">
        <v>7802.2</v>
      </c>
      <c r="F1519" s="3" t="n">
        <v>0.2650631873061445</v>
      </c>
      <c r="G1519" t="n">
        <v>3773</v>
      </c>
      <c r="H1519" s="3" t="n">
        <v>0.2580033532864373</v>
      </c>
      <c r="I1519" s="3" t="n">
        <v>0.2722672531554238</v>
      </c>
      <c r="J1519" t="n">
        <v>5343.8</v>
      </c>
      <c r="K1519">
        <f>IF(IFERROR(INDEX(Spots!$K$2:$K$96,MATCH(A1519,Spots!$A$2:$A$96,0)),"")="","",IFERROR(INDEX(Spots!$K$2:$K$96,MATCH(A1519,Spots!$A$2:$A$96,0)),""))</f>
        <v/>
      </c>
      <c r="L1519" s="3">
        <f>IF(OR(K1519="",F1519=""),"",F1519/1000*K1519*100)</f>
        <v/>
      </c>
      <c r="M1519">
        <f>IF(OR(L1519="",L1519=0),"",ROUND(100/L1519,0))</f>
        <v/>
      </c>
      <c r="N1519" t="inlineStr"/>
    </row>
    <row r="1520">
      <c r="A1520" t="n">
        <v>159</v>
      </c>
      <c r="B1520" t="inlineStr">
        <is>
          <t>[Dehkia] Pila Ku Jail</t>
        </is>
      </c>
      <c r="C1520" t="inlineStr">
        <is>
          <t>Sealed Black Magic Crystal</t>
        </is>
      </c>
      <c r="D1520" t="n">
        <v>1.275496</v>
      </c>
      <c r="E1520" t="n">
        <v>7802.2</v>
      </c>
      <c r="F1520" s="3" t="n">
        <v>0.1634790187383046</v>
      </c>
      <c r="G1520" t="n">
        <v>6117</v>
      </c>
      <c r="H1520" s="3" t="n">
        <v>0.1579448033652215</v>
      </c>
      <c r="I1520" s="3" t="n">
        <v>0.1691576464669358</v>
      </c>
      <c r="J1520" t="n">
        <v>3295.8</v>
      </c>
      <c r="K1520">
        <f>IF(IFERROR(INDEX(Spots!$K$2:$K$96,MATCH(A1520,Spots!$A$2:$A$96,0)),"")="","",IFERROR(INDEX(Spots!$K$2:$K$96,MATCH(A1520,Spots!$A$2:$A$96,0)),""))</f>
        <v/>
      </c>
      <c r="L1520" s="3">
        <f>IF(OR(K1520="",F1520=""),"",F1520/1000*K1520*100)</f>
        <v/>
      </c>
      <c r="M1520">
        <f>IF(OR(L1520="",L1520=0),"",ROUND(100/L1520,0))</f>
        <v/>
      </c>
      <c r="N1520" t="inlineStr"/>
    </row>
    <row r="1521">
      <c r="A1521" t="n">
        <v>159</v>
      </c>
      <c r="B1521" t="inlineStr">
        <is>
          <t>[Dehkia] Pila Ku Jail</t>
        </is>
      </c>
      <c r="C1521" t="inlineStr">
        <is>
          <t>Yona's Fragment</t>
        </is>
      </c>
      <c r="D1521" t="n">
        <v>1.069325</v>
      </c>
      <c r="E1521" t="n">
        <v>7802.2</v>
      </c>
      <c r="F1521" s="3" t="n">
        <v>0.1370542923790726</v>
      </c>
      <c r="G1521" t="n">
        <v>7296</v>
      </c>
      <c r="H1521" s="3" t="n">
        <v>0.1319910415435657</v>
      </c>
      <c r="I1521" s="3" t="n">
        <v>0.1422620329780526</v>
      </c>
      <c r="J1521" t="n">
        <v>2763.1</v>
      </c>
      <c r="K1521">
        <f>IF(IFERROR(INDEX(Spots!$K$2:$K$96,MATCH(A1521,Spots!$A$2:$A$96,0)),"")="","",IFERROR(INDEX(Spots!$K$2:$K$96,MATCH(A1521,Spots!$A$2:$A$96,0)),""))</f>
        <v/>
      </c>
      <c r="L1521" s="3">
        <f>IF(OR(K1521="",F1521=""),"",F1521/1000*K1521*100)</f>
        <v/>
      </c>
      <c r="M1521">
        <f>IF(OR(L1521="",L1521=0),"",ROUND(100/L1521,0))</f>
        <v/>
      </c>
      <c r="N1521" t="inlineStr"/>
    </row>
    <row r="1522">
      <c r="A1522" t="n">
        <v>159</v>
      </c>
      <c r="B1522" t="inlineStr">
        <is>
          <t>[Dehkia] Pila Ku Jail</t>
        </is>
      </c>
      <c r="C1522" t="inlineStr">
        <is>
          <t>Mass of Pure Magic</t>
        </is>
      </c>
      <c r="D1522" t="n">
        <v>0.82022917</v>
      </c>
      <c r="E1522" t="n">
        <v>7802.2</v>
      </c>
      <c r="F1522" s="3" t="n">
        <v>0.1051279344287509</v>
      </c>
      <c r="G1522" t="n">
        <v>9512</v>
      </c>
      <c r="H1522" s="3" t="n">
        <v>0.1006993327585689</v>
      </c>
      <c r="I1522" s="3" t="n">
        <v>0.1097011558126695</v>
      </c>
      <c r="J1522" t="n">
        <v>2119.4</v>
      </c>
      <c r="K1522">
        <f>IF(IFERROR(INDEX(Spots!$K$2:$K$96,MATCH(A1522,Spots!$A$2:$A$96,0)),"")="","",IFERROR(INDEX(Spots!$K$2:$K$96,MATCH(A1522,Spots!$A$2:$A$96,0)),""))</f>
        <v/>
      </c>
      <c r="L1522" s="3">
        <f>IF(OR(K1522="",F1522=""),"",F1522/1000*K1522*100)</f>
        <v/>
      </c>
      <c r="M1522">
        <f>IF(OR(L1522="",L1522=0),"",ROUND(100/L1522,0))</f>
        <v/>
      </c>
      <c r="N1522" t="inlineStr"/>
    </row>
    <row r="1523">
      <c r="A1523" t="n">
        <v>159</v>
      </c>
      <c r="B1523" t="inlineStr">
        <is>
          <t>[Dehkia] Pila Ku Jail</t>
        </is>
      </c>
      <c r="C1523" t="inlineStr">
        <is>
          <t>Void Tainted Whispers</t>
        </is>
      </c>
      <c r="D1523" t="n">
        <v>0.75456452</v>
      </c>
      <c r="E1523" t="n">
        <v>7802.2</v>
      </c>
      <c r="F1523" s="3" t="n">
        <v>0.09671176334879905</v>
      </c>
      <c r="G1523" t="n">
        <v>10340</v>
      </c>
      <c r="H1523" s="3" t="n">
        <v>0.09246606186879114</v>
      </c>
      <c r="I1523" s="3" t="n">
        <v>0.1011021290880449</v>
      </c>
      <c r="J1523" t="n">
        <v>1949.7</v>
      </c>
      <c r="K1523">
        <f>IF(IFERROR(INDEX(Spots!$K$2:$K$96,MATCH(A1523,Spots!$A$2:$A$96,0)),"")="","",IFERROR(INDEX(Spots!$K$2:$K$96,MATCH(A1523,Spots!$A$2:$A$96,0)),""))</f>
        <v/>
      </c>
      <c r="L1523" s="3">
        <f>IF(OR(K1523="",F1523=""),"",F1523/1000*K1523*100)</f>
        <v/>
      </c>
      <c r="M1523">
        <f>IF(OR(L1523="",L1523=0),"",ROUND(100/L1523,0))</f>
        <v/>
      </c>
      <c r="N1523" t="inlineStr"/>
    </row>
    <row r="1524">
      <c r="A1524" t="n">
        <v>159</v>
      </c>
      <c r="B1524" t="inlineStr">
        <is>
          <t>[Dehkia] Pila Ku Jail</t>
        </is>
      </c>
      <c r="C1524" t="inlineStr">
        <is>
          <t>Part for Explorer's Compass</t>
        </is>
      </c>
      <c r="D1524" t="n">
        <v>0.55916769</v>
      </c>
      <c r="E1524" t="n">
        <v>7802.2</v>
      </c>
      <c r="F1524" s="3" t="n">
        <v>0.07166795134705596</v>
      </c>
      <c r="G1524" t="n">
        <v>13953</v>
      </c>
      <c r="H1524" s="3" t="n">
        <v>0.0680196680571056</v>
      </c>
      <c r="I1524" s="3" t="n">
        <v>0.0754610749338773</v>
      </c>
      <c r="J1524" t="n">
        <v>1444.9</v>
      </c>
      <c r="K1524">
        <f>IF(IFERROR(INDEX(Spots!$K$2:$K$96,MATCH(A1524,Spots!$A$2:$A$96,0)),"")="","",IFERROR(INDEX(Spots!$K$2:$K$96,MATCH(A1524,Spots!$A$2:$A$96,0)),""))</f>
        <v/>
      </c>
      <c r="L1524" s="3">
        <f>IF(OR(K1524="",F1524=""),"",F1524/1000*K1524*100)</f>
        <v/>
      </c>
      <c r="M1524">
        <f>IF(OR(L1524="",L1524=0),"",ROUND(100/L1524,0))</f>
        <v/>
      </c>
      <c r="N1524" t="inlineStr"/>
    </row>
    <row r="1525">
      <c r="A1525" t="n">
        <v>159</v>
      </c>
      <c r="B1525" t="inlineStr">
        <is>
          <t>[Dehkia] Pila Ku Jail</t>
        </is>
      </c>
      <c r="C1525" t="inlineStr">
        <is>
          <t>Traveler's Map</t>
        </is>
      </c>
      <c r="D1525" t="n">
        <v>0.43241747</v>
      </c>
      <c r="E1525" t="n">
        <v>7802.2</v>
      </c>
      <c r="F1525" s="3" t="n">
        <v>0.05542250519084361</v>
      </c>
      <c r="G1525" t="n">
        <v>18043</v>
      </c>
      <c r="H1525" s="3" t="n">
        <v>0.05221996624170364</v>
      </c>
      <c r="I1525" s="3" t="n">
        <v>0.05877005764794913</v>
      </c>
      <c r="J1525" t="n">
        <v>1117.3</v>
      </c>
      <c r="K1525">
        <f>IF(IFERROR(INDEX(Spots!$K$2:$K$96,MATCH(A1525,Spots!$A$2:$A$96,0)),"")="","",IFERROR(INDEX(Spots!$K$2:$K$96,MATCH(A1525,Spots!$A$2:$A$96,0)),""))</f>
        <v/>
      </c>
      <c r="L1525" s="3">
        <f>IF(OR(K1525="",F1525=""),"",F1525/1000*K1525*100)</f>
        <v/>
      </c>
      <c r="M1525">
        <f>IF(OR(L1525="",L1525=0),"",ROUND(100/L1525,0))</f>
        <v/>
      </c>
      <c r="N1525" t="inlineStr"/>
    </row>
    <row r="1526">
      <c r="A1526" t="n">
        <v>159</v>
      </c>
      <c r="B1526" t="inlineStr">
        <is>
          <t>[Dehkia] Pila Ku Jail</t>
        </is>
      </c>
      <c r="C1526" t="inlineStr">
        <is>
          <t>Sicil's Necklace</t>
        </is>
      </c>
      <c r="D1526" t="n">
        <v>0.39928279</v>
      </c>
      <c r="E1526" t="n">
        <v>7802.2</v>
      </c>
      <c r="F1526" s="3" t="n">
        <v>0.05117566711953039</v>
      </c>
      <c r="G1526" t="n">
        <v>19541</v>
      </c>
      <c r="H1526" s="3" t="n">
        <v>0.04810012705726903</v>
      </c>
      <c r="I1526" s="3" t="n">
        <v>0.05439627902478574</v>
      </c>
      <c r="J1526" t="n">
        <v>1031.7</v>
      </c>
      <c r="K1526">
        <f>IF(IFERROR(INDEX(Spots!$K$2:$K$96,MATCH(A1526,Spots!$A$2:$A$96,0)),"")="","",IFERROR(INDEX(Spots!$K$2:$K$96,MATCH(A1526,Spots!$A$2:$A$96,0)),""))</f>
        <v/>
      </c>
      <c r="L1526" s="3">
        <f>IF(OR(K1526="",F1526=""),"",F1526/1000*K1526*100)</f>
        <v/>
      </c>
      <c r="M1526">
        <f>IF(OR(L1526="",L1526=0),"",ROUND(100/L1526,0))</f>
        <v/>
      </c>
      <c r="N1526" t="inlineStr"/>
    </row>
    <row r="1527">
      <c r="A1527" t="n">
        <v>159</v>
      </c>
      <c r="B1527" t="inlineStr">
        <is>
          <t>[Dehkia] Pila Ku Jail</t>
        </is>
      </c>
      <c r="C1527" t="inlineStr">
        <is>
          <t>Black Spirit's Claw Piece</t>
        </is>
      </c>
      <c r="D1527" t="n">
        <v>0.37818771</v>
      </c>
      <c r="E1527" t="n">
        <v>7802.2</v>
      </c>
      <c r="F1527" s="3" t="n">
        <v>0.04847193227551203</v>
      </c>
      <c r="G1527" t="n">
        <v>20630</v>
      </c>
      <c r="H1527" s="3" t="n">
        <v>0.0454800094149275</v>
      </c>
      <c r="I1527" s="3" t="n">
        <v>0.05160896802888332</v>
      </c>
      <c r="J1527" t="n">
        <v>977.2</v>
      </c>
      <c r="K1527">
        <f>IF(IFERROR(INDEX(Spots!$K$2:$K$96,MATCH(A1527,Spots!$A$2:$A$96,0)),"")="","",IFERROR(INDEX(Spots!$K$2:$K$96,MATCH(A1527,Spots!$A$2:$A$96,0)),""))</f>
        <v/>
      </c>
      <c r="L1527" s="3">
        <f>IF(OR(K1527="",F1527=""),"",F1527/1000*K1527*100)</f>
        <v/>
      </c>
      <c r="M1527">
        <f>IF(OR(L1527="",L1527=0),"",ROUND(100/L1527,0))</f>
        <v/>
      </c>
      <c r="N1527" t="inlineStr"/>
    </row>
    <row r="1528">
      <c r="A1528" t="n">
        <v>159</v>
      </c>
      <c r="B1528" t="inlineStr">
        <is>
          <t>[Dehkia] Pila Ku Jail</t>
        </is>
      </c>
      <c r="C1528" t="inlineStr">
        <is>
          <t>Dehkia's Fragment</t>
        </is>
      </c>
      <c r="D1528" t="n">
        <v>0.24236106</v>
      </c>
      <c r="E1528" t="n">
        <v>7802.2</v>
      </c>
      <c r="F1528" s="3" t="n">
        <v>0.03106316936248751</v>
      </c>
      <c r="G1528" t="n">
        <v>32192</v>
      </c>
      <c r="H1528" s="3" t="n">
        <v>0.02867752396153286</v>
      </c>
      <c r="I1528" s="3" t="n">
        <v>0.03359430888458927</v>
      </c>
      <c r="J1528" t="n">
        <v>626.2</v>
      </c>
      <c r="K1528">
        <f>IF(IFERROR(INDEX(Spots!$K$2:$K$96,MATCH(A1528,Spots!$A$2:$A$96,0)),"")="","",IFERROR(INDEX(Spots!$K$2:$K$96,MATCH(A1528,Spots!$A$2:$A$96,0)),""))</f>
        <v/>
      </c>
      <c r="L1528" s="3">
        <f>IF(OR(K1528="",F1528=""),"",F1528/1000*K1528*100)</f>
        <v/>
      </c>
      <c r="M1528">
        <f>IF(OR(L1528="",L1528=0),"",ROUND(100/L1528,0))</f>
        <v/>
      </c>
      <c r="N1528" t="inlineStr"/>
    </row>
    <row r="1529">
      <c r="A1529" t="n">
        <v>159</v>
      </c>
      <c r="B1529" t="inlineStr">
        <is>
          <t>[Dehkia] Pila Ku Jail</t>
        </is>
      </c>
      <c r="C1529" t="inlineStr">
        <is>
          <t>Specter's Energy</t>
        </is>
      </c>
      <c r="D1529" t="n">
        <v>0.17126734</v>
      </c>
      <c r="E1529" t="n">
        <v>7802.2</v>
      </c>
      <c r="F1529" s="3" t="n">
        <v>0.02195115992925072</v>
      </c>
      <c r="G1529" t="n">
        <v>45556</v>
      </c>
      <c r="H1529" s="3" t="n">
        <v>0.019953301512367</v>
      </c>
      <c r="I1529" s="3" t="n">
        <v>0.02409487345654264</v>
      </c>
      <c r="J1529" t="n">
        <v>442.5</v>
      </c>
      <c r="K1529">
        <f>IF(IFERROR(INDEX(Spots!$K$2:$K$96,MATCH(A1529,Spots!$A$2:$A$96,0)),"")="","",IFERROR(INDEX(Spots!$K$2:$K$96,MATCH(A1529,Spots!$A$2:$A$96,0)),""))</f>
        <v/>
      </c>
      <c r="L1529" s="3">
        <f>IF(OR(K1529="",F1529=""),"",F1529/1000*K1529*100)</f>
        <v/>
      </c>
      <c r="M1529">
        <f>IF(OR(L1529="",L1529=0),"",ROUND(100/L1529,0))</f>
        <v/>
      </c>
      <c r="N1529" t="inlineStr"/>
    </row>
    <row r="1530">
      <c r="A1530" t="n">
        <v>159</v>
      </c>
      <c r="B1530" t="inlineStr">
        <is>
          <t>[Dehkia] Pila Ku Jail</t>
        </is>
      </c>
      <c r="C1530" t="inlineStr">
        <is>
          <t>Deboreka Earring</t>
        </is>
      </c>
      <c r="D1530" t="n">
        <v>0.15195531</v>
      </c>
      <c r="E1530" t="n">
        <v>7802.2</v>
      </c>
      <c r="F1530" s="3" t="n">
        <v>0.01947595678142063</v>
      </c>
      <c r="G1530" t="n">
        <v>51345</v>
      </c>
      <c r="H1530" s="3" t="n">
        <v>0.01759687530591976</v>
      </c>
      <c r="I1530" s="3" t="n">
        <v>0.02150103264674132</v>
      </c>
      <c r="J1530" t="n">
        <v>392.6</v>
      </c>
      <c r="K1530">
        <f>IF(IFERROR(INDEX(Spots!$K$2:$K$96,MATCH(A1530,Spots!$A$2:$A$96,0)),"")="","",IFERROR(INDEX(Spots!$K$2:$K$96,MATCH(A1530,Spots!$A$2:$A$96,0)),""))</f>
        <v/>
      </c>
      <c r="L1530" s="3">
        <f>IF(OR(K1530="",F1530=""),"",F1530/1000*K1530*100)</f>
        <v/>
      </c>
      <c r="M1530">
        <f>IF(OR(L1530="",L1530=0),"",ROUND(100/L1530,0))</f>
        <v/>
      </c>
      <c r="N1530" t="inlineStr"/>
    </row>
    <row r="1531">
      <c r="A1531" t="n">
        <v>159</v>
      </c>
      <c r="B1531" t="inlineStr">
        <is>
          <t>[Dehkia] Pila Ku Jail</t>
        </is>
      </c>
      <c r="C1531" t="inlineStr">
        <is>
          <t>Pila Ku Jail Paint</t>
        </is>
      </c>
      <c r="D1531" t="n">
        <v>0.08204029</v>
      </c>
      <c r="E1531" t="n">
        <v>7802.2</v>
      </c>
      <c r="F1531" s="3" t="n">
        <v>0.01051502012252954</v>
      </c>
      <c r="G1531" t="n">
        <v>95102</v>
      </c>
      <c r="H1531" s="3" t="n">
        <v>0.009147005460251951</v>
      </c>
      <c r="I1531" s="3" t="n">
        <v>0.01202989047067823</v>
      </c>
      <c r="J1531" t="n">
        <v>212</v>
      </c>
      <c r="K1531">
        <f>IF(IFERROR(INDEX(Spots!$K$2:$K$96,MATCH(A1531,Spots!$A$2:$A$96,0)),"")="","",IFERROR(INDEX(Spots!$K$2:$K$96,MATCH(A1531,Spots!$A$2:$A$96,0)),""))</f>
        <v/>
      </c>
      <c r="L1531" s="3">
        <f>IF(OR(K1531="",F1531=""),"",F1531/1000*K1531*100)</f>
        <v/>
      </c>
      <c r="M1531">
        <f>IF(OR(L1531="",L1531=0),"",ROUND(100/L1531,0))</f>
        <v/>
      </c>
      <c r="N1531" t="inlineStr"/>
    </row>
    <row r="1532">
      <c r="A1532" t="n">
        <v>159</v>
      </c>
      <c r="B1532" t="inlineStr">
        <is>
          <t>[Dehkia] Pila Ku Jail</t>
        </is>
      </c>
      <c r="C1532" t="inlineStr">
        <is>
          <t>Any Artifact</t>
        </is>
      </c>
      <c r="D1532" t="n">
        <v>0.07635131000000001</v>
      </c>
      <c r="E1532" t="n">
        <v>7802.2</v>
      </c>
      <c r="F1532" s="3" t="n">
        <v>0.009785869370177643</v>
      </c>
      <c r="G1532" t="n">
        <v>102188</v>
      </c>
      <c r="H1532" s="3" t="n">
        <v>0.008467832278805701</v>
      </c>
      <c r="I1532" s="3" t="n">
        <v>0.01125088033918639</v>
      </c>
      <c r="J1532" t="n">
        <v>197.3</v>
      </c>
      <c r="K1532">
        <f>IF(IFERROR(INDEX(Spots!$K$2:$K$96,MATCH(A1532,Spots!$A$2:$A$96,0)),"")="","",IFERROR(INDEX(Spots!$K$2:$K$96,MATCH(A1532,Spots!$A$2:$A$96,0)),""))</f>
        <v/>
      </c>
      <c r="L1532" s="3">
        <f>IF(OR(K1532="",F1532=""),"",F1532/1000*K1532*100)</f>
        <v/>
      </c>
      <c r="M1532">
        <f>IF(OR(L1532="",L1532=0),"",ROUND(100/L1532,0))</f>
        <v/>
      </c>
      <c r="N1532" t="inlineStr"/>
    </row>
    <row r="1533">
      <c r="A1533" t="n">
        <v>159</v>
      </c>
      <c r="B1533" t="inlineStr">
        <is>
          <t>[Dehkia] Pila Ku Jail</t>
        </is>
      </c>
      <c r="C1533" t="inlineStr">
        <is>
          <t>Great Marni's Stone (Pila Ku)</t>
        </is>
      </c>
      <c r="D1533" t="n">
        <v>0.00591795</v>
      </c>
      <c r="E1533" t="n">
        <v>7802.2</v>
      </c>
      <c r="F1533" s="3" t="n">
        <v>0.0007584976032401118</v>
      </c>
      <c r="G1533" t="n">
        <v>1318396</v>
      </c>
      <c r="H1533" s="3" t="n">
        <v>0.0004269312168534518</v>
      </c>
      <c r="I1533" s="3" t="n">
        <v>0.001245264617298364</v>
      </c>
      <c r="J1533" t="n">
        <v>15.3</v>
      </c>
      <c r="K1533">
        <f>IF(IFERROR(INDEX(Spots!$K$2:$K$96,MATCH(A1533,Spots!$A$2:$A$96,0)),"")="","",IFERROR(INDEX(Spots!$K$2:$K$96,MATCH(A1533,Spots!$A$2:$A$96,0)),""))</f>
        <v/>
      </c>
      <c r="L1533" s="3">
        <f>IF(OR(K1533="",F1533=""),"",F1533/1000*K1533*100)</f>
        <v/>
      </c>
      <c r="M1533">
        <f>IF(OR(L1533="",L1533=0),"",ROUND(100/L1533,0))</f>
        <v/>
      </c>
      <c r="N1533" t="inlineStr">
        <is>
          <t>low sample</t>
        </is>
      </c>
    </row>
    <row r="1534">
      <c r="A1534" t="n">
        <v>158</v>
      </c>
      <c r="B1534" t="inlineStr">
        <is>
          <t>[Dehkia] Roud Sulfur Mine</t>
        </is>
      </c>
      <c r="C1534" t="inlineStr">
        <is>
          <t>Ancient Spirit Dust</t>
        </is>
      </c>
      <c r="D1534" t="n">
        <v>26.905</v>
      </c>
      <c r="E1534" t="n">
        <v>9238.200000000001</v>
      </c>
      <c r="F1534" s="3" t="n">
        <v>2.912363880409603</v>
      </c>
      <c r="G1534" t="n">
        <v>343</v>
      </c>
      <c r="H1534" s="3" t="n">
        <v>2.895803042752547</v>
      </c>
      <c r="I1534" s="3" t="n">
        <v>2.928995939887643</v>
      </c>
      <c r="J1534" t="n">
        <v>118472.6</v>
      </c>
      <c r="K1534">
        <f>IF(IFERROR(INDEX(Spots!$K$2:$K$96,MATCH(A1534,Spots!$A$2:$A$96,0)),"")="","",IFERROR(INDEX(Spots!$K$2:$K$96,MATCH(A1534,Spots!$A$2:$A$96,0)),""))</f>
        <v/>
      </c>
      <c r="L1534" s="3">
        <f>IF(OR(K1534="",F1534=""),"",F1534/1000*K1534*100)</f>
        <v/>
      </c>
      <c r="M1534">
        <f>IF(OR(L1534="",L1534=0),"",ROUND(100/L1534,0))</f>
        <v/>
      </c>
      <c r="N1534" t="inlineStr"/>
    </row>
    <row r="1535">
      <c r="A1535" t="n">
        <v>158</v>
      </c>
      <c r="B1535" t="inlineStr">
        <is>
          <t>[Dehkia] Roud Sulfur Mine</t>
        </is>
      </c>
      <c r="C1535" t="inlineStr">
        <is>
          <t>Black Stone</t>
        </is>
      </c>
      <c r="D1535" t="n">
        <v>26.289</v>
      </c>
      <c r="E1535" t="n">
        <v>9238.200000000001</v>
      </c>
      <c r="F1535" s="3" t="n">
        <v>2.845684224199519</v>
      </c>
      <c r="G1535" t="n">
        <v>351</v>
      </c>
      <c r="H1535" s="3" t="n">
        <v>2.829314335921961</v>
      </c>
      <c r="I1535" s="3" t="n">
        <v>2.8621253351123</v>
      </c>
      <c r="J1535" t="n">
        <v>115760.1</v>
      </c>
      <c r="K1535">
        <f>IF(IFERROR(INDEX(Spots!$K$2:$K$96,MATCH(A1535,Spots!$A$2:$A$96,0)),"")="","",IFERROR(INDEX(Spots!$K$2:$K$96,MATCH(A1535,Spots!$A$2:$A$96,0)),""))</f>
        <v/>
      </c>
      <c r="L1535" s="3">
        <f>IF(OR(K1535="",F1535=""),"",F1535/1000*K1535*100)</f>
        <v/>
      </c>
      <c r="M1535">
        <f>IF(OR(L1535="",L1535=0),"",ROUND(100/L1535,0))</f>
        <v/>
      </c>
      <c r="N1535" t="inlineStr"/>
    </row>
    <row r="1536">
      <c r="A1536" t="n">
        <v>158</v>
      </c>
      <c r="B1536" t="inlineStr">
        <is>
          <t>[Dehkia] Roud Sulfur Mine</t>
        </is>
      </c>
      <c r="C1536" t="inlineStr">
        <is>
          <t>Caphras Stone</t>
        </is>
      </c>
      <c r="D1536" t="n">
        <v>17.184</v>
      </c>
      <c r="E1536" t="n">
        <v>9238.200000000001</v>
      </c>
      <c r="F1536" s="3" t="n">
        <v>1.860102617392999</v>
      </c>
      <c r="G1536" t="n">
        <v>538</v>
      </c>
      <c r="H1536" s="3" t="n">
        <v>1.846872176876704</v>
      </c>
      <c r="I1536" s="3" t="n">
        <v>1.873404297292895</v>
      </c>
      <c r="J1536" t="n">
        <v>75667.5</v>
      </c>
      <c r="K1536">
        <f>IF(IFERROR(INDEX(Spots!$K$2:$K$96,MATCH(A1536,Spots!$A$2:$A$96,0)),"")="","",IFERROR(INDEX(Spots!$K$2:$K$96,MATCH(A1536,Spots!$A$2:$A$96,0)),""))</f>
        <v/>
      </c>
      <c r="L1536" s="3">
        <f>IF(OR(K1536="",F1536=""),"",F1536/1000*K1536*100)</f>
        <v/>
      </c>
      <c r="M1536">
        <f>IF(OR(L1536="",L1536=0),"",ROUND(100/L1536,0))</f>
        <v/>
      </c>
      <c r="N1536" t="inlineStr"/>
    </row>
    <row r="1537">
      <c r="A1537" t="n">
        <v>158</v>
      </c>
      <c r="B1537" t="inlineStr">
        <is>
          <t>[Dehkia] Roud Sulfur Mine</t>
        </is>
      </c>
      <c r="C1537" t="inlineStr">
        <is>
          <t>Scroll Written in Ancient Language</t>
        </is>
      </c>
      <c r="D1537" t="n">
        <v>10.947</v>
      </c>
      <c r="E1537" t="n">
        <v>9238.200000000001</v>
      </c>
      <c r="F1537" s="3" t="n">
        <v>1.184971098265896</v>
      </c>
      <c r="G1537" t="n">
        <v>844</v>
      </c>
      <c r="H1537" s="3" t="n">
        <v>1.174415906370338</v>
      </c>
      <c r="I1537" s="3" t="n">
        <v>1.195597551654136</v>
      </c>
      <c r="J1537" t="n">
        <v>48203.7</v>
      </c>
      <c r="K1537">
        <f>IF(IFERROR(INDEX(Spots!$K$2:$K$96,MATCH(A1537,Spots!$A$2:$A$96,0)),"")="","",IFERROR(INDEX(Spots!$K$2:$K$96,MATCH(A1537,Spots!$A$2:$A$96,0)),""))</f>
        <v/>
      </c>
      <c r="L1537" s="3">
        <f>IF(OR(K1537="",F1537=""),"",F1537/1000*K1537*100)</f>
        <v/>
      </c>
      <c r="M1537">
        <f>IF(OR(L1537="",L1537=0),"",ROUND(100/L1537,0))</f>
        <v/>
      </c>
      <c r="N1537" t="inlineStr"/>
    </row>
    <row r="1538">
      <c r="A1538" t="n">
        <v>158</v>
      </c>
      <c r="B1538" t="inlineStr">
        <is>
          <t>[Dehkia] Roud Sulfur Mine</t>
        </is>
      </c>
      <c r="C1538" t="inlineStr">
        <is>
          <t>Trace of Nature</t>
        </is>
      </c>
      <c r="D1538" t="n">
        <v>8.233369</v>
      </c>
      <c r="E1538" t="n">
        <v>9238.200000000001</v>
      </c>
      <c r="F1538" s="3" t="n">
        <v>0.8912308674850078</v>
      </c>
      <c r="G1538" t="n">
        <v>1122</v>
      </c>
      <c r="H1538" s="3" t="n">
        <v>0.882080038351075</v>
      </c>
      <c r="I1538" s="3" t="n">
        <v>0.9004529748728654</v>
      </c>
      <c r="J1538" t="n">
        <v>36254.5</v>
      </c>
      <c r="K1538">
        <f>IF(IFERROR(INDEX(Spots!$K$2:$K$96,MATCH(A1538,Spots!$A$2:$A$96,0)),"")="","",IFERROR(INDEX(Spots!$K$2:$K$96,MATCH(A1538,Spots!$A$2:$A$96,0)),""))</f>
        <v/>
      </c>
      <c r="L1538" s="3">
        <f>IF(OR(K1538="",F1538=""),"",F1538/1000*K1538*100)</f>
        <v/>
      </c>
      <c r="M1538">
        <f>IF(OR(L1538="",L1538=0),"",ROUND(100/L1538,0))</f>
        <v/>
      </c>
      <c r="N1538" t="inlineStr"/>
    </row>
    <row r="1539">
      <c r="A1539" t="n">
        <v>158</v>
      </c>
      <c r="B1539" t="inlineStr">
        <is>
          <t>[Dehkia] Roud Sulfur Mine</t>
        </is>
      </c>
      <c r="C1539" t="inlineStr">
        <is>
          <t>Sealed Black Magic Crystal</t>
        </is>
      </c>
      <c r="D1539" t="n">
        <v>2.729381</v>
      </c>
      <c r="E1539" t="n">
        <v>9238.200000000001</v>
      </c>
      <c r="F1539" s="3" t="n">
        <v>0.2954451083544413</v>
      </c>
      <c r="G1539" t="n">
        <v>3385</v>
      </c>
      <c r="H1539" s="3" t="n">
        <v>0.2901863066380574</v>
      </c>
      <c r="I1539" s="3" t="n">
        <v>0.3007752812607549</v>
      </c>
      <c r="J1539" t="n">
        <v>12018.5</v>
      </c>
      <c r="K1539">
        <f>IF(IFERROR(INDEX(Spots!$K$2:$K$96,MATCH(A1539,Spots!$A$2:$A$96,0)),"")="","",IFERROR(INDEX(Spots!$K$2:$K$96,MATCH(A1539,Spots!$A$2:$A$96,0)),""))</f>
        <v/>
      </c>
      <c r="L1539" s="3">
        <f>IF(OR(K1539="",F1539=""),"",F1539/1000*K1539*100)</f>
        <v/>
      </c>
      <c r="M1539">
        <f>IF(OR(L1539="",L1539=0),"",ROUND(100/L1539,0))</f>
        <v/>
      </c>
      <c r="N1539" t="inlineStr"/>
    </row>
    <row r="1540">
      <c r="A1540" t="n">
        <v>158</v>
      </c>
      <c r="B1540" t="inlineStr">
        <is>
          <t>[Dehkia] Roud Sulfur Mine</t>
        </is>
      </c>
      <c r="C1540" t="inlineStr">
        <is>
          <t>Yona's Fragment</t>
        </is>
      </c>
      <c r="D1540" t="n">
        <v>1.086631</v>
      </c>
      <c r="E1540" t="n">
        <v>9238.200000000001</v>
      </c>
      <c r="F1540" s="3" t="n">
        <v>0.1176236712779546</v>
      </c>
      <c r="G1540" t="n">
        <v>8502</v>
      </c>
      <c r="H1540" s="3" t="n">
        <v>0.1143141490585113</v>
      </c>
      <c r="I1540" s="3" t="n">
        <v>0.1210046925505084</v>
      </c>
      <c r="J1540" t="n">
        <v>4784.8</v>
      </c>
      <c r="K1540">
        <f>IF(IFERROR(INDEX(Spots!$K$2:$K$96,MATCH(A1540,Spots!$A$2:$A$96,0)),"")="","",IFERROR(INDEX(Spots!$K$2:$K$96,MATCH(A1540,Spots!$A$2:$A$96,0)),""))</f>
        <v/>
      </c>
      <c r="L1540" s="3">
        <f>IF(OR(K1540="",F1540=""),"",F1540/1000*K1540*100)</f>
        <v/>
      </c>
      <c r="M1540">
        <f>IF(OR(L1540="",L1540=0),"",ROUND(100/L1540,0))</f>
        <v/>
      </c>
      <c r="N1540" t="inlineStr"/>
    </row>
    <row r="1541">
      <c r="A1541" t="n">
        <v>158</v>
      </c>
      <c r="B1541" t="inlineStr">
        <is>
          <t>[Dehkia] Roud Sulfur Mine</t>
        </is>
      </c>
      <c r="C1541" t="inlineStr">
        <is>
          <t>Soiled Sicil's Necklace</t>
        </is>
      </c>
      <c r="D1541" t="n">
        <v>0.97330755</v>
      </c>
      <c r="E1541" t="n">
        <v>9238.200000000001</v>
      </c>
      <c r="F1541" s="3" t="n">
        <v>0.1053568389946093</v>
      </c>
      <c r="G1541" t="n">
        <v>9492</v>
      </c>
      <c r="H1541" s="3" t="n">
        <v>0.1022258939458918</v>
      </c>
      <c r="I1541" s="3" t="n">
        <v>0.1085593026851792</v>
      </c>
      <c r="J1541" t="n">
        <v>4285.8</v>
      </c>
      <c r="K1541">
        <f>IF(IFERROR(INDEX(Spots!$K$2:$K$96,MATCH(A1541,Spots!$A$2:$A$96,0)),"")="","",IFERROR(INDEX(Spots!$K$2:$K$96,MATCH(A1541,Spots!$A$2:$A$96,0)),""))</f>
        <v/>
      </c>
      <c r="L1541" s="3">
        <f>IF(OR(K1541="",F1541=""),"",F1541/1000*K1541*100)</f>
        <v/>
      </c>
      <c r="M1541">
        <f>IF(OR(L1541="",L1541=0),"",ROUND(100/L1541,0))</f>
        <v/>
      </c>
      <c r="N1541" t="inlineStr"/>
    </row>
    <row r="1542">
      <c r="A1542" t="n">
        <v>158</v>
      </c>
      <c r="B1542" t="inlineStr">
        <is>
          <t>[Dehkia] Roud Sulfur Mine</t>
        </is>
      </c>
      <c r="C1542" t="inlineStr">
        <is>
          <t>Void Tainted Whispers</t>
        </is>
      </c>
      <c r="D1542" t="n">
        <v>0.88756532</v>
      </c>
      <c r="E1542" t="n">
        <v>9238.200000000001</v>
      </c>
      <c r="F1542" s="3" t="n">
        <v>0.09607556883375548</v>
      </c>
      <c r="G1542" t="n">
        <v>10408</v>
      </c>
      <c r="H1542" s="3" t="n">
        <v>0.0930867654370223</v>
      </c>
      <c r="I1542" s="3" t="n">
        <v>0.09913590811849966</v>
      </c>
      <c r="J1542" t="n">
        <v>3908.3</v>
      </c>
      <c r="K1542">
        <f>IF(IFERROR(INDEX(Spots!$K$2:$K$96,MATCH(A1542,Spots!$A$2:$A$96,0)),"")="","",IFERROR(INDEX(Spots!$K$2:$K$96,MATCH(A1542,Spots!$A$2:$A$96,0)),""))</f>
        <v/>
      </c>
      <c r="L1542" s="3">
        <f>IF(OR(K1542="",F1542=""),"",F1542/1000*K1542*100)</f>
        <v/>
      </c>
      <c r="M1542">
        <f>IF(OR(L1542="",L1542=0),"",ROUND(100/L1542,0))</f>
        <v/>
      </c>
      <c r="N1542" t="inlineStr"/>
    </row>
    <row r="1543">
      <c r="A1543" t="n">
        <v>158</v>
      </c>
      <c r="B1543" t="inlineStr">
        <is>
          <t>[Dehkia] Roud Sulfur Mine</t>
        </is>
      </c>
      <c r="C1543" t="inlineStr">
        <is>
          <t>Traveler's Map</t>
        </is>
      </c>
      <c r="D1543" t="n">
        <v>0.54658794</v>
      </c>
      <c r="E1543" t="n">
        <v>9238.200000000001</v>
      </c>
      <c r="F1543" s="3" t="n">
        <v>0.05916606481782165</v>
      </c>
      <c r="G1543" t="n">
        <v>16902</v>
      </c>
      <c r="H1543" s="3" t="n">
        <v>0.05682565094225332</v>
      </c>
      <c r="I1543" s="3" t="n">
        <v>0.06157811943902439</v>
      </c>
      <c r="J1543" t="n">
        <v>2406.8</v>
      </c>
      <c r="K1543">
        <f>IF(IFERROR(INDEX(Spots!$K$2:$K$96,MATCH(A1543,Spots!$A$2:$A$96,0)),"")="","",IFERROR(INDEX(Spots!$K$2:$K$96,MATCH(A1543,Spots!$A$2:$A$96,0)),""))</f>
        <v/>
      </c>
      <c r="L1543" s="3">
        <f>IF(OR(K1543="",F1543=""),"",F1543/1000*K1543*100)</f>
        <v/>
      </c>
      <c r="M1543">
        <f>IF(OR(L1543="",L1543=0),"",ROUND(100/L1543,0))</f>
        <v/>
      </c>
      <c r="N1543" t="inlineStr"/>
    </row>
    <row r="1544">
      <c r="A1544" t="n">
        <v>158</v>
      </c>
      <c r="B1544" t="inlineStr">
        <is>
          <t>[Dehkia] Roud Sulfur Mine</t>
        </is>
      </c>
      <c r="C1544" t="inlineStr">
        <is>
          <t>Dehkia's Fragment</t>
        </is>
      </c>
      <c r="D1544" t="n">
        <v>0.34980044</v>
      </c>
      <c r="E1544" t="n">
        <v>9238.200000000001</v>
      </c>
      <c r="F1544" s="3" t="n">
        <v>0.03786456669048083</v>
      </c>
      <c r="G1544" t="n">
        <v>26410</v>
      </c>
      <c r="H1544" s="3" t="n">
        <v>0.03599696984244475</v>
      </c>
      <c r="I1544" s="3" t="n">
        <v>0.03980392582026514</v>
      </c>
      <c r="J1544" t="n">
        <v>1540.3</v>
      </c>
      <c r="K1544">
        <f>IF(IFERROR(INDEX(Spots!$K$2:$K$96,MATCH(A1544,Spots!$A$2:$A$96,0)),"")="","",IFERROR(INDEX(Spots!$K$2:$K$96,MATCH(A1544,Spots!$A$2:$A$96,0)),""))</f>
        <v/>
      </c>
      <c r="L1544" s="3">
        <f>IF(OR(K1544="",F1544=""),"",F1544/1000*K1544*100)</f>
        <v/>
      </c>
      <c r="M1544">
        <f>IF(OR(L1544="",L1544=0),"",ROUND(100/L1544,0))</f>
        <v/>
      </c>
      <c r="N1544" t="inlineStr"/>
    </row>
    <row r="1545">
      <c r="A1545" t="n">
        <v>158</v>
      </c>
      <c r="B1545" t="inlineStr">
        <is>
          <t>[Dehkia] Roud Sulfur Mine</t>
        </is>
      </c>
      <c r="C1545" t="inlineStr">
        <is>
          <t>Part for Explorer's Compass</t>
        </is>
      </c>
      <c r="D1545" t="n">
        <v>0.28770208</v>
      </c>
      <c r="E1545" t="n">
        <v>9238.200000000001</v>
      </c>
      <c r="F1545" s="3" t="n">
        <v>0.03114265549565933</v>
      </c>
      <c r="G1545" t="n">
        <v>32110</v>
      </c>
      <c r="H1545" s="3" t="n">
        <v>0.02945111080753493</v>
      </c>
      <c r="I1545" s="3" t="n">
        <v>0.03290602472952726</v>
      </c>
      <c r="J1545" t="n">
        <v>1266.9</v>
      </c>
      <c r="K1545">
        <f>IF(IFERROR(INDEX(Spots!$K$2:$K$96,MATCH(A1545,Spots!$A$2:$A$96,0)),"")="","",IFERROR(INDEX(Spots!$K$2:$K$96,MATCH(A1545,Spots!$A$2:$A$96,0)),""))</f>
        <v/>
      </c>
      <c r="L1545" s="3">
        <f>IF(OR(K1545="",F1545=""),"",F1545/1000*K1545*100)</f>
        <v/>
      </c>
      <c r="M1545">
        <f>IF(OR(L1545="",L1545=0),"",ROUND(100/L1545,0))</f>
        <v/>
      </c>
      <c r="N1545" t="inlineStr"/>
    </row>
    <row r="1546">
      <c r="A1546" t="n">
        <v>158</v>
      </c>
      <c r="B1546" t="inlineStr">
        <is>
          <t>[Dehkia] Roud Sulfur Mine</t>
        </is>
      </c>
      <c r="C1546" t="inlineStr">
        <is>
          <t>Black Spirit's Claw Piece</t>
        </is>
      </c>
      <c r="D1546" t="n">
        <v>0.25157313</v>
      </c>
      <c r="E1546" t="n">
        <v>9238.200000000001</v>
      </c>
      <c r="F1546" s="3" t="n">
        <v>0.02723183412353055</v>
      </c>
      <c r="G1546" t="n">
        <v>36722</v>
      </c>
      <c r="H1546" s="3" t="n">
        <v>0.02565158647701321</v>
      </c>
      <c r="I1546" s="3" t="n">
        <v>0.02888395268122696</v>
      </c>
      <c r="J1546" t="n">
        <v>1107.8</v>
      </c>
      <c r="K1546">
        <f>IF(IFERROR(INDEX(Spots!$K$2:$K$96,MATCH(A1546,Spots!$A$2:$A$96,0)),"")="","",IFERROR(INDEX(Spots!$K$2:$K$96,MATCH(A1546,Spots!$A$2:$A$96,0)),""))</f>
        <v/>
      </c>
      <c r="L1546" s="3">
        <f>IF(OR(K1546="",F1546=""),"",F1546/1000*K1546*100)</f>
        <v/>
      </c>
      <c r="M1546">
        <f>IF(OR(L1546="",L1546=0),"",ROUND(100/L1546,0))</f>
        <v/>
      </c>
      <c r="N1546" t="inlineStr"/>
    </row>
    <row r="1547">
      <c r="A1547" t="n">
        <v>158</v>
      </c>
      <c r="B1547" t="inlineStr">
        <is>
          <t>[Dehkia] Roud Sulfur Mine</t>
        </is>
      </c>
      <c r="C1547" t="inlineStr">
        <is>
          <t>Deboreka Earring</t>
        </is>
      </c>
      <c r="D1547" t="n">
        <v>0.2000933</v>
      </c>
      <c r="E1547" t="n">
        <v>9238.200000000001</v>
      </c>
      <c r="F1547" s="3" t="n">
        <v>0.02165933839925526</v>
      </c>
      <c r="G1547" t="n">
        <v>46169</v>
      </c>
      <c r="H1547" s="3" t="n">
        <v>0.02025256371669478</v>
      </c>
      <c r="I1547" s="3" t="n">
        <v>0.02313807053487608</v>
      </c>
      <c r="J1547" t="n">
        <v>881.1</v>
      </c>
      <c r="K1547">
        <f>IF(IFERROR(INDEX(Spots!$K$2:$K$96,MATCH(A1547,Spots!$A$2:$A$96,0)),"")="","",IFERROR(INDEX(Spots!$K$2:$K$96,MATCH(A1547,Spots!$A$2:$A$96,0)),""))</f>
        <v/>
      </c>
      <c r="L1547" s="3">
        <f>IF(OR(K1547="",F1547=""),"",F1547/1000*K1547*100)</f>
        <v/>
      </c>
      <c r="M1547">
        <f>IF(OR(L1547="",L1547=0),"",ROUND(100/L1547,0))</f>
        <v/>
      </c>
      <c r="N1547" t="inlineStr"/>
    </row>
    <row r="1548">
      <c r="A1548" t="n">
        <v>158</v>
      </c>
      <c r="B1548" t="inlineStr">
        <is>
          <t>[Dehkia] Roud Sulfur Mine</t>
        </is>
      </c>
      <c r="C1548" t="inlineStr">
        <is>
          <t>Sicil's Necklace</t>
        </is>
      </c>
      <c r="D1548" t="n">
        <v>0.19520063</v>
      </c>
      <c r="E1548" t="n">
        <v>9238.200000000001</v>
      </c>
      <c r="F1548" s="3" t="n">
        <v>0.02112972548764911</v>
      </c>
      <c r="G1548" t="n">
        <v>47327</v>
      </c>
      <c r="H1548" s="3" t="n">
        <v>0.01974054597688243</v>
      </c>
      <c r="I1548" s="3" t="n">
        <v>0.02259087240694783</v>
      </c>
      <c r="J1548" t="n">
        <v>859.5</v>
      </c>
      <c r="K1548">
        <f>IF(IFERROR(INDEX(Spots!$K$2:$K$96,MATCH(A1548,Spots!$A$2:$A$96,0)),"")="","",IFERROR(INDEX(Spots!$K$2:$K$96,MATCH(A1548,Spots!$A$2:$A$96,0)),""))</f>
        <v/>
      </c>
      <c r="L1548" s="3">
        <f>IF(OR(K1548="",F1548=""),"",F1548/1000*K1548*100)</f>
        <v/>
      </c>
      <c r="M1548">
        <f>IF(OR(L1548="",L1548=0),"",ROUND(100/L1548,0))</f>
        <v/>
      </c>
      <c r="N1548" t="inlineStr"/>
    </row>
    <row r="1549">
      <c r="A1549" t="n">
        <v>158</v>
      </c>
      <c r="B1549" t="inlineStr">
        <is>
          <t>[Dehkia] Roud Sulfur Mine</t>
        </is>
      </c>
      <c r="C1549" t="inlineStr">
        <is>
          <t>Specter's Energy</t>
        </is>
      </c>
      <c r="D1549" t="n">
        <v>0.13193358</v>
      </c>
      <c r="E1549" t="n">
        <v>9238.200000000001</v>
      </c>
      <c r="F1549" s="3" t="n">
        <v>0.01428130804702214</v>
      </c>
      <c r="G1549" t="n">
        <v>70022</v>
      </c>
      <c r="H1549" s="3" t="n">
        <v>0.01314342249765684</v>
      </c>
      <c r="I1549" s="3" t="n">
        <v>0.01549133578018856</v>
      </c>
      <c r="J1549" t="n">
        <v>581</v>
      </c>
      <c r="K1549">
        <f>IF(IFERROR(INDEX(Spots!$K$2:$K$96,MATCH(A1549,Spots!$A$2:$A$96,0)),"")="","",IFERROR(INDEX(Spots!$K$2:$K$96,MATCH(A1549,Spots!$A$2:$A$96,0)),""))</f>
        <v/>
      </c>
      <c r="L1549" s="3">
        <f>IF(OR(K1549="",F1549=""),"",F1549/1000*K1549*100)</f>
        <v/>
      </c>
      <c r="M1549">
        <f>IF(OR(L1549="",L1549=0),"",ROUND(100/L1549,0))</f>
        <v/>
      </c>
      <c r="N1549" t="inlineStr"/>
    </row>
    <row r="1550">
      <c r="A1550" t="n">
        <v>158</v>
      </c>
      <c r="B1550" t="inlineStr">
        <is>
          <t>[Dehkia] Roud Sulfur Mine</t>
        </is>
      </c>
      <c r="C1550" t="inlineStr">
        <is>
          <t>Mass of Pure Magic</t>
        </is>
      </c>
      <c r="D1550" t="n">
        <v>0.12281914</v>
      </c>
      <c r="E1550" t="n">
        <v>9238.200000000001</v>
      </c>
      <c r="F1550" s="3" t="n">
        <v>0.01329470459613344</v>
      </c>
      <c r="G1550" t="n">
        <v>75218</v>
      </c>
      <c r="H1550" s="3" t="n">
        <v>0.01219765660377036</v>
      </c>
      <c r="I1550" s="3" t="n">
        <v>0.01446393050233668</v>
      </c>
      <c r="J1550" t="n">
        <v>540.8</v>
      </c>
      <c r="K1550">
        <f>IF(IFERROR(INDEX(Spots!$K$2:$K$96,MATCH(A1550,Spots!$A$2:$A$96,0)),"")="","",IFERROR(INDEX(Spots!$K$2:$K$96,MATCH(A1550,Spots!$A$2:$A$96,0)),""))</f>
        <v/>
      </c>
      <c r="L1550" s="3">
        <f>IF(OR(K1550="",F1550=""),"",F1550/1000*K1550*100)</f>
        <v/>
      </c>
      <c r="M1550">
        <f>IF(OR(L1550="",L1550=0),"",ROUND(100/L1550,0))</f>
        <v/>
      </c>
      <c r="N1550" t="inlineStr"/>
    </row>
    <row r="1551">
      <c r="A1551" t="n">
        <v>158</v>
      </c>
      <c r="B1551" t="inlineStr">
        <is>
          <t>[Dehkia] Roud Sulfur Mine</t>
        </is>
      </c>
      <c r="C1551" t="inlineStr">
        <is>
          <t>Roud Sulfur Mine Paint</t>
        </is>
      </c>
      <c r="D1551" t="n">
        <v>0.10387142</v>
      </c>
      <c r="E1551" t="n">
        <v>9238.200000000001</v>
      </c>
      <c r="F1551" s="3" t="n">
        <v>0.01124368599943712</v>
      </c>
      <c r="G1551" t="n">
        <v>88939</v>
      </c>
      <c r="H1551" s="3" t="n">
        <v>0.01023670119513787</v>
      </c>
      <c r="I1551" s="3" t="n">
        <v>0.01232293741129651</v>
      </c>
      <c r="J1551" t="n">
        <v>457.4</v>
      </c>
      <c r="K1551">
        <f>IF(IFERROR(INDEX(Spots!$K$2:$K$96,MATCH(A1551,Spots!$A$2:$A$96,0)),"")="","",IFERROR(INDEX(Spots!$K$2:$K$96,MATCH(A1551,Spots!$A$2:$A$96,0)),""))</f>
        <v/>
      </c>
      <c r="L1551" s="3">
        <f>IF(OR(K1551="",F1551=""),"",F1551/1000*K1551*100)</f>
        <v/>
      </c>
      <c r="M1551">
        <f>IF(OR(L1551="",L1551=0),"",ROUND(100/L1551,0))</f>
        <v/>
      </c>
      <c r="N1551" t="inlineStr"/>
    </row>
    <row r="1552">
      <c r="A1552" t="n">
        <v>158</v>
      </c>
      <c r="B1552" t="inlineStr">
        <is>
          <t>[Dehkia] Roud Sulfur Mine</t>
        </is>
      </c>
      <c r="C1552" t="inlineStr">
        <is>
          <t>Any Artifact</t>
        </is>
      </c>
      <c r="D1552" t="n">
        <v>0.09041331</v>
      </c>
      <c r="E1552" t="n">
        <v>9238.200000000001</v>
      </c>
      <c r="F1552" s="3" t="n">
        <v>0.009786896798077547</v>
      </c>
      <c r="G1552" t="n">
        <v>102177</v>
      </c>
      <c r="H1552" s="3" t="n">
        <v>0.008848993683722592</v>
      </c>
      <c r="I1552" s="3" t="n">
        <v>0.01079714567273594</v>
      </c>
      <c r="J1552" t="n">
        <v>398.1</v>
      </c>
      <c r="K1552">
        <f>IF(IFERROR(INDEX(Spots!$K$2:$K$96,MATCH(A1552,Spots!$A$2:$A$96,0)),"")="","",IFERROR(INDEX(Spots!$K$2:$K$96,MATCH(A1552,Spots!$A$2:$A$96,0)),""))</f>
        <v/>
      </c>
      <c r="L1552" s="3">
        <f>IF(OR(K1552="",F1552=""),"",F1552/1000*K1552*100)</f>
        <v/>
      </c>
      <c r="M1552">
        <f>IF(OR(L1552="",L1552=0),"",ROUND(100/L1552,0))</f>
        <v/>
      </c>
      <c r="N1552" t="inlineStr"/>
    </row>
    <row r="1553">
      <c r="A1553" t="n">
        <v>158</v>
      </c>
      <c r="B1553" t="inlineStr">
        <is>
          <t>[Dehkia] Roud Sulfur Mine</t>
        </is>
      </c>
      <c r="C1553" t="inlineStr">
        <is>
          <t>Manos Craftsman's Clothes</t>
        </is>
      </c>
      <c r="D1553" t="n">
        <v>0.01070819</v>
      </c>
      <c r="E1553" t="n">
        <v>9238.200000000001</v>
      </c>
      <c r="F1553" s="3" t="n">
        <v>0.001159120824403022</v>
      </c>
      <c r="G1553" t="n">
        <v>862723</v>
      </c>
      <c r="H1553" s="3" t="n">
        <v>0.0008520572379246414</v>
      </c>
      <c r="I1553" s="3" t="n">
        <v>0.00154072340171152</v>
      </c>
      <c r="J1553" t="n">
        <v>47.2</v>
      </c>
      <c r="K1553">
        <f>IF(IFERROR(INDEX(Spots!$K$2:$K$96,MATCH(A1553,Spots!$A$2:$A$96,0)),"")="","",IFERROR(INDEX(Spots!$K$2:$K$96,MATCH(A1553,Spots!$A$2:$A$96,0)),""))</f>
        <v/>
      </c>
      <c r="L1553" s="3">
        <f>IF(OR(K1553="",F1553=""),"",F1553/1000*K1553*100)</f>
        <v/>
      </c>
      <c r="M1553">
        <f>IF(OR(L1553="",L1553=0),"",ROUND(100/L1553,0))</f>
        <v/>
      </c>
      <c r="N1553" t="inlineStr"/>
    </row>
    <row r="1554">
      <c r="A1554" t="n">
        <v>158</v>
      </c>
      <c r="B1554" t="inlineStr">
        <is>
          <t>[Dehkia] Roud Sulfur Mine</t>
        </is>
      </c>
      <c r="C1554" t="inlineStr">
        <is>
          <t>Great Marni's Stone (Roud Sulfur Mine)</t>
        </is>
      </c>
      <c r="D1554" t="n">
        <v>0.00451821</v>
      </c>
      <c r="E1554" t="n">
        <v>9238.200000000001</v>
      </c>
      <c r="F1554" s="3" t="n">
        <v>0.0004890790413716957</v>
      </c>
      <c r="G1554" t="n">
        <v>2044659</v>
      </c>
      <c r="H1554" s="3" t="n">
        <v>0.0002981789595967885</v>
      </c>
      <c r="I1554" s="3" t="n">
        <v>0.0007562322552960761</v>
      </c>
      <c r="J1554" t="n">
        <v>19.9</v>
      </c>
      <c r="K1554">
        <f>IF(IFERROR(INDEX(Spots!$K$2:$K$96,MATCH(A1554,Spots!$A$2:$A$96,0)),"")="","",IFERROR(INDEX(Spots!$K$2:$K$96,MATCH(A1554,Spots!$A$2:$A$96,0)),""))</f>
        <v/>
      </c>
      <c r="L1554" s="3">
        <f>IF(OR(K1554="",F1554=""),"",F1554/1000*K1554*100)</f>
        <v/>
      </c>
      <c r="M1554">
        <f>IF(OR(L1554="",L1554=0),"",ROUND(100/L1554,0))</f>
        <v/>
      </c>
      <c r="N1554" t="inlineStr">
        <is>
          <t>low sample</t>
        </is>
      </c>
    </row>
    <row r="1555">
      <c r="A1555" t="n">
        <v>146</v>
      </c>
      <c r="B1555" t="inlineStr">
        <is>
          <t>[Dehkia] Thornwood Forest</t>
        </is>
      </c>
      <c r="C1555" t="inlineStr">
        <is>
          <t>Black Stone</t>
        </is>
      </c>
      <c r="D1555" t="n">
        <v>122.31</v>
      </c>
      <c r="E1555" t="n">
        <v>8193.200000000001</v>
      </c>
      <c r="F1555" s="3" t="n">
        <v>14.92823316896939</v>
      </c>
      <c r="G1555" t="n">
        <v>67</v>
      </c>
      <c r="H1555" s="3" t="n">
        <v>14.89211653388589</v>
      </c>
      <c r="I1555" s="3" t="n">
        <v>14.96441574463762</v>
      </c>
      <c r="J1555" t="n">
        <v>655534.7</v>
      </c>
      <c r="K1555">
        <f>IF(IFERROR(INDEX(Spots!$K$2:$K$96,MATCH(A1555,Spots!$A$2:$A$96,0)),"")="","",IFERROR(INDEX(Spots!$K$2:$K$96,MATCH(A1555,Spots!$A$2:$A$96,0)),""))</f>
        <v/>
      </c>
      <c r="L1555" s="3">
        <f>IF(OR(K1555="",F1555=""),"",F1555/1000*K1555*100)</f>
        <v/>
      </c>
      <c r="M1555">
        <f>IF(OR(L1555="",L1555=0),"",ROUND(100/L1555,0))</f>
        <v/>
      </c>
      <c r="N1555" t="inlineStr"/>
    </row>
    <row r="1556">
      <c r="A1556" t="n">
        <v>146</v>
      </c>
      <c r="B1556" t="inlineStr">
        <is>
          <t>[Dehkia] Thornwood Forest</t>
        </is>
      </c>
      <c r="C1556" t="inlineStr">
        <is>
          <t>Ancient Spirit Dust</t>
        </is>
      </c>
      <c r="D1556" t="n">
        <v>52.813</v>
      </c>
      <c r="E1556" t="n">
        <v>8193.200000000001</v>
      </c>
      <c r="F1556" s="3" t="n">
        <v>6.445955182346336</v>
      </c>
      <c r="G1556" t="n">
        <v>155</v>
      </c>
      <c r="H1556" s="3" t="n">
        <v>6.422229905945839</v>
      </c>
      <c r="I1556" s="3" t="n">
        <v>6.469746413705074</v>
      </c>
      <c r="J1556" t="n">
        <v>283057.4</v>
      </c>
      <c r="K1556">
        <f>IF(IFERROR(INDEX(Spots!$K$2:$K$96,MATCH(A1556,Spots!$A$2:$A$96,0)),"")="","",IFERROR(INDEX(Spots!$K$2:$K$96,MATCH(A1556,Spots!$A$2:$A$96,0)),""))</f>
        <v/>
      </c>
      <c r="L1556" s="3">
        <f>IF(OR(K1556="",F1556=""),"",F1556/1000*K1556*100)</f>
        <v/>
      </c>
      <c r="M1556">
        <f>IF(OR(L1556="",L1556=0),"",ROUND(100/L1556,0))</f>
        <v/>
      </c>
      <c r="N1556" t="inlineStr"/>
    </row>
    <row r="1557">
      <c r="A1557" t="n">
        <v>146</v>
      </c>
      <c r="B1557" t="inlineStr">
        <is>
          <t>[Dehkia] Thornwood Forest</t>
        </is>
      </c>
      <c r="C1557" t="inlineStr">
        <is>
          <t>Caphras Stone</t>
        </is>
      </c>
      <c r="D1557" t="n">
        <v>23.69</v>
      </c>
      <c r="E1557" t="n">
        <v>8193.200000000001</v>
      </c>
      <c r="F1557" s="3" t="n">
        <v>2.89142215495777</v>
      </c>
      <c r="G1557" t="n">
        <v>346</v>
      </c>
      <c r="H1557" s="3" t="n">
        <v>2.875539302531032</v>
      </c>
      <c r="I1557" s="3" t="n">
        <v>2.90737098300582</v>
      </c>
      <c r="J1557" t="n">
        <v>126969.3</v>
      </c>
      <c r="K1557">
        <f>IF(IFERROR(INDEX(Spots!$K$2:$K$96,MATCH(A1557,Spots!$A$2:$A$96,0)),"")="","",IFERROR(INDEX(Spots!$K$2:$K$96,MATCH(A1557,Spots!$A$2:$A$96,0)),""))</f>
        <v/>
      </c>
      <c r="L1557" s="3">
        <f>IF(OR(K1557="",F1557=""),"",F1557/1000*K1557*100)</f>
        <v/>
      </c>
      <c r="M1557">
        <f>IF(OR(L1557="",L1557=0),"",ROUND(100/L1557,0))</f>
        <v/>
      </c>
      <c r="N1557" t="inlineStr"/>
    </row>
    <row r="1558">
      <c r="A1558" t="n">
        <v>146</v>
      </c>
      <c r="B1558" t="inlineStr">
        <is>
          <t>[Dehkia] Thornwood Forest</t>
        </is>
      </c>
      <c r="C1558" t="inlineStr">
        <is>
          <t>Moonlight Spirit Powder</t>
        </is>
      </c>
      <c r="D1558" t="n">
        <v>10.251</v>
      </c>
      <c r="E1558" t="n">
        <v>8193.200000000001</v>
      </c>
      <c r="F1558" s="3" t="n">
        <v>1.251159498120392</v>
      </c>
      <c r="G1558" t="n">
        <v>799</v>
      </c>
      <c r="H1558" s="3" t="n">
        <v>1.240718985908402</v>
      </c>
      <c r="I1558" s="3" t="n">
        <v>1.261666018484353</v>
      </c>
      <c r="J1558" t="n">
        <v>54941.4</v>
      </c>
      <c r="K1558">
        <f>IF(IFERROR(INDEX(Spots!$K$2:$K$96,MATCH(A1558,Spots!$A$2:$A$96,0)),"")="","",IFERROR(INDEX(Spots!$K$2:$K$96,MATCH(A1558,Spots!$A$2:$A$96,0)),""))</f>
        <v/>
      </c>
      <c r="L1558" s="3">
        <f>IF(OR(K1558="",F1558=""),"",F1558/1000*K1558*100)</f>
        <v/>
      </c>
      <c r="M1558">
        <f>IF(OR(L1558="",L1558=0),"",ROUND(100/L1558,0))</f>
        <v/>
      </c>
      <c r="N1558" t="inlineStr"/>
    </row>
    <row r="1559">
      <c r="A1559" t="n">
        <v>146</v>
      </c>
      <c r="B1559" t="inlineStr">
        <is>
          <t>[Dehkia] Thornwood Forest</t>
        </is>
      </c>
      <c r="C1559" t="inlineStr">
        <is>
          <t>Sealed Black Magic Crystal</t>
        </is>
      </c>
      <c r="D1559" t="n">
        <v>9.228623000000001</v>
      </c>
      <c r="E1559" t="n">
        <v>8193.200000000001</v>
      </c>
      <c r="F1559" s="3" t="n">
        <v>1.126375897085388</v>
      </c>
      <c r="G1559" t="n">
        <v>888</v>
      </c>
      <c r="H1559" s="3" t="n">
        <v>1.116470801441283</v>
      </c>
      <c r="I1559" s="3" t="n">
        <v>1.136347006007166</v>
      </c>
      <c r="J1559" t="n">
        <v>49461.9</v>
      </c>
      <c r="K1559">
        <f>IF(IFERROR(INDEX(Spots!$K$2:$K$96,MATCH(A1559,Spots!$A$2:$A$96,0)),"")="","",IFERROR(INDEX(Spots!$K$2:$K$96,MATCH(A1559,Spots!$A$2:$A$96,0)),""))</f>
        <v/>
      </c>
      <c r="L1559" s="3">
        <f>IF(OR(K1559="",F1559=""),"",F1559/1000*K1559*100)</f>
        <v/>
      </c>
      <c r="M1559">
        <f>IF(OR(L1559="",L1559=0),"",ROUND(100/L1559,0))</f>
        <v/>
      </c>
      <c r="N1559" t="inlineStr"/>
    </row>
    <row r="1560">
      <c r="A1560" t="n">
        <v>146</v>
      </c>
      <c r="B1560" t="inlineStr">
        <is>
          <t>[Dehkia] Thornwood Forest</t>
        </is>
      </c>
      <c r="C1560" t="inlineStr">
        <is>
          <t>Mass of Pure Magic</t>
        </is>
      </c>
      <c r="D1560" t="n">
        <v>2.357975</v>
      </c>
      <c r="E1560" t="n">
        <v>8193.200000000001</v>
      </c>
      <c r="F1560" s="3" t="n">
        <v>0.287796587413953</v>
      </c>
      <c r="G1560" t="n">
        <v>3475</v>
      </c>
      <c r="H1560" s="3" t="n">
        <v>0.2828004827434024</v>
      </c>
      <c r="I1560" s="3" t="n">
        <v>0.2928588032498139</v>
      </c>
      <c r="J1560" t="n">
        <v>12637.8</v>
      </c>
      <c r="K1560">
        <f>IF(IFERROR(INDEX(Spots!$K$2:$K$96,MATCH(A1560,Spots!$A$2:$A$96,0)),"")="","",IFERROR(INDEX(Spots!$K$2:$K$96,MATCH(A1560,Spots!$A$2:$A$96,0)),""))</f>
        <v/>
      </c>
      <c r="L1560" s="3">
        <f>IF(OR(K1560="",F1560=""),"",F1560/1000*K1560*100)</f>
        <v/>
      </c>
      <c r="M1560">
        <f>IF(OR(L1560="",L1560=0),"",ROUND(100/L1560,0))</f>
        <v/>
      </c>
      <c r="N1560" t="inlineStr"/>
    </row>
    <row r="1561">
      <c r="A1561" t="n">
        <v>146</v>
      </c>
      <c r="B1561" t="inlineStr">
        <is>
          <t>[Dehkia] Thornwood Forest</t>
        </is>
      </c>
      <c r="C1561" t="inlineStr">
        <is>
          <t>Venomous Night Fang</t>
        </is>
      </c>
      <c r="D1561" t="n">
        <v>2.027957</v>
      </c>
      <c r="E1561" t="n">
        <v>8193.200000000001</v>
      </c>
      <c r="F1561" s="3" t="n">
        <v>0.2475170873407215</v>
      </c>
      <c r="G1561" t="n">
        <v>4040</v>
      </c>
      <c r="H1561" s="3" t="n">
        <v>0.2428853490289206</v>
      </c>
      <c r="I1561" s="3" t="n">
        <v>0.2522149522997898</v>
      </c>
      <c r="J1561" t="n">
        <v>10869.1</v>
      </c>
      <c r="K1561">
        <f>IF(IFERROR(INDEX(Spots!$K$2:$K$96,MATCH(A1561,Spots!$A$2:$A$96,0)),"")="","",IFERROR(INDEX(Spots!$K$2:$K$96,MATCH(A1561,Spots!$A$2:$A$96,0)),""))</f>
        <v/>
      </c>
      <c r="L1561" s="3">
        <f>IF(OR(K1561="",F1561=""),"",F1561/1000*K1561*100)</f>
        <v/>
      </c>
      <c r="M1561">
        <f>IF(OR(L1561="",L1561=0),"",ROUND(100/L1561,0))</f>
        <v/>
      </c>
      <c r="N1561" t="inlineStr"/>
    </row>
    <row r="1562">
      <c r="A1562" t="n">
        <v>146</v>
      </c>
      <c r="B1562" t="inlineStr">
        <is>
          <t>[Dehkia] Thornwood Forest</t>
        </is>
      </c>
      <c r="C1562" t="inlineStr">
        <is>
          <t>Ah'krad</t>
        </is>
      </c>
      <c r="D1562" t="n">
        <v>0.68179448</v>
      </c>
      <c r="E1562" t="n">
        <v>8193.200000000001</v>
      </c>
      <c r="F1562" s="3" t="n">
        <v>0.08321467558463115</v>
      </c>
      <c r="G1562" t="n">
        <v>12017</v>
      </c>
      <c r="H1562" s="3" t="n">
        <v>0.0805381771452031</v>
      </c>
      <c r="I1562" s="3" t="n">
        <v>0.08595745490940108</v>
      </c>
      <c r="J1562" t="n">
        <v>3654.2</v>
      </c>
      <c r="K1562">
        <f>IF(IFERROR(INDEX(Spots!$K$2:$K$96,MATCH(A1562,Spots!$A$2:$A$96,0)),"")="","",IFERROR(INDEX(Spots!$K$2:$K$96,MATCH(A1562,Spots!$A$2:$A$96,0)),""))</f>
        <v/>
      </c>
      <c r="L1562" s="3">
        <f>IF(OR(K1562="",F1562=""),"",F1562/1000*K1562*100)</f>
        <v/>
      </c>
      <c r="M1562">
        <f>IF(OR(L1562="",L1562=0),"",ROUND(100/L1562,0))</f>
        <v/>
      </c>
      <c r="N1562" t="inlineStr"/>
    </row>
    <row r="1563">
      <c r="A1563" t="n">
        <v>146</v>
      </c>
      <c r="B1563" t="inlineStr">
        <is>
          <t>[Dehkia] Thornwood Forest</t>
        </is>
      </c>
      <c r="C1563" t="inlineStr">
        <is>
          <t>Ominous Ring</t>
        </is>
      </c>
      <c r="D1563" t="n">
        <v>0.56565934</v>
      </c>
      <c r="E1563" t="n">
        <v>8193.200000000001</v>
      </c>
      <c r="F1563" s="3" t="n">
        <v>0.06904009910657619</v>
      </c>
      <c r="G1563" t="n">
        <v>14484</v>
      </c>
      <c r="H1563" s="3" t="n">
        <v>0.06660412238593194</v>
      </c>
      <c r="I1563" s="3" t="n">
        <v>0.0715423925684535</v>
      </c>
      <c r="J1563" t="n">
        <v>3031.7</v>
      </c>
      <c r="K1563">
        <f>IF(IFERROR(INDEX(Spots!$K$2:$K$96,MATCH(A1563,Spots!$A$2:$A$96,0)),"")="","",IFERROR(INDEX(Spots!$K$2:$K$96,MATCH(A1563,Spots!$A$2:$A$96,0)),""))</f>
        <v/>
      </c>
      <c r="L1563" s="3">
        <f>IF(OR(K1563="",F1563=""),"",F1563/1000*K1563*100)</f>
        <v/>
      </c>
      <c r="M1563">
        <f>IF(OR(L1563="",L1563=0),"",ROUND(100/L1563,0))</f>
        <v/>
      </c>
      <c r="N1563" t="inlineStr"/>
    </row>
    <row r="1564">
      <c r="A1564" t="n">
        <v>146</v>
      </c>
      <c r="B1564" t="inlineStr">
        <is>
          <t>[Dehkia] Thornwood Forest</t>
        </is>
      </c>
      <c r="C1564" t="inlineStr">
        <is>
          <t>Void Tainted Whispers</t>
        </is>
      </c>
      <c r="D1564" t="n">
        <v>0.5092891000000001</v>
      </c>
      <c r="E1564" t="n">
        <v>8193.200000000001</v>
      </c>
      <c r="F1564" s="3" t="n">
        <v>0.06215997412488405</v>
      </c>
      <c r="G1564" t="n">
        <v>16088</v>
      </c>
      <c r="H1564" s="3" t="n">
        <v>0.05984966922982328</v>
      </c>
      <c r="I1564" s="3" t="n">
        <v>0.06453661742488111</v>
      </c>
      <c r="J1564" t="n">
        <v>2729.6</v>
      </c>
      <c r="K1564">
        <f>IF(IFERROR(INDEX(Spots!$K$2:$K$96,MATCH(A1564,Spots!$A$2:$A$96,0)),"")="","",IFERROR(INDEX(Spots!$K$2:$K$96,MATCH(A1564,Spots!$A$2:$A$96,0)),""))</f>
        <v/>
      </c>
      <c r="L1564" s="3">
        <f>IF(OR(K1564="",F1564=""),"",F1564/1000*K1564*100)</f>
        <v/>
      </c>
      <c r="M1564">
        <f>IF(OR(L1564="",L1564=0),"",ROUND(100/L1564,0))</f>
        <v/>
      </c>
      <c r="N1564" t="inlineStr"/>
    </row>
    <row r="1565">
      <c r="A1565" t="n">
        <v>146</v>
      </c>
      <c r="B1565" t="inlineStr">
        <is>
          <t>[Dehkia] Thornwood Forest</t>
        </is>
      </c>
      <c r="C1565" t="inlineStr">
        <is>
          <t>Imperfect Lightstone of Fire</t>
        </is>
      </c>
      <c r="D1565" t="n">
        <v>0.32081575</v>
      </c>
      <c r="E1565" t="n">
        <v>8193.200000000001</v>
      </c>
      <c r="F1565" s="3" t="n">
        <v>0.03915634306498072</v>
      </c>
      <c r="G1565" t="n">
        <v>25539</v>
      </c>
      <c r="H1565" s="3" t="n">
        <v>0.03732718087522931</v>
      </c>
      <c r="I1565" s="3" t="n">
        <v>0.04105195364318177</v>
      </c>
      <c r="J1565" t="n">
        <v>1719.4</v>
      </c>
      <c r="K1565">
        <f>IF(IFERROR(INDEX(Spots!$K$2:$K$96,MATCH(A1565,Spots!$A$2:$A$96,0)),"")="","",IFERROR(INDEX(Spots!$K$2:$K$96,MATCH(A1565,Spots!$A$2:$A$96,0)),""))</f>
        <v/>
      </c>
      <c r="L1565" s="3">
        <f>IF(OR(K1565="",F1565=""),"",F1565/1000*K1565*100)</f>
        <v/>
      </c>
      <c r="M1565">
        <f>IF(OR(L1565="",L1565=0),"",ROUND(100/L1565,0))</f>
        <v/>
      </c>
      <c r="N1565" t="inlineStr"/>
    </row>
    <row r="1566">
      <c r="A1566" t="n">
        <v>146</v>
      </c>
      <c r="B1566" t="inlineStr">
        <is>
          <t>[Dehkia] Thornwood Forest</t>
        </is>
      </c>
      <c r="C1566" t="inlineStr">
        <is>
          <t>Quturan's Black Leaf</t>
        </is>
      </c>
      <c r="D1566" t="n">
        <v>0.29970269</v>
      </c>
      <c r="E1566" t="n">
        <v>8193.200000000001</v>
      </c>
      <c r="F1566" s="3" t="n">
        <v>0.03657944270858761</v>
      </c>
      <c r="G1566" t="n">
        <v>27338</v>
      </c>
      <c r="H1566" s="3" t="n">
        <v>0.03481222142560941</v>
      </c>
      <c r="I1566" s="3" t="n">
        <v>0.03841313081263888</v>
      </c>
      <c r="J1566" t="n">
        <v>1606.3</v>
      </c>
      <c r="K1566">
        <f>IF(IFERROR(INDEX(Spots!$K$2:$K$96,MATCH(A1566,Spots!$A$2:$A$96,0)),"")="","",IFERROR(INDEX(Spots!$K$2:$K$96,MATCH(A1566,Spots!$A$2:$A$96,0)),""))</f>
        <v/>
      </c>
      <c r="L1566" s="3">
        <f>IF(OR(K1566="",F1566=""),"",F1566/1000*K1566*100)</f>
        <v/>
      </c>
      <c r="M1566">
        <f>IF(OR(L1566="",L1566=0),"",ROUND(100/L1566,0))</f>
        <v/>
      </c>
      <c r="N1566" t="inlineStr"/>
    </row>
    <row r="1567">
      <c r="A1567" t="n">
        <v>146</v>
      </c>
      <c r="B1567" t="inlineStr">
        <is>
          <t>[Dehkia] Thornwood Forest</t>
        </is>
      </c>
      <c r="C1567" t="inlineStr">
        <is>
          <t>Dehkia's Fragment</t>
        </is>
      </c>
      <c r="D1567" t="n">
        <v>0.18184531</v>
      </c>
      <c r="E1567" t="n">
        <v>8193.200000000001</v>
      </c>
      <c r="F1567" s="3" t="n">
        <v>0.02219466264707318</v>
      </c>
      <c r="G1567" t="n">
        <v>45056</v>
      </c>
      <c r="H1567" s="3" t="n">
        <v>0.02082290971275432</v>
      </c>
      <c r="I1567" s="3" t="n">
        <v>0.0236330384288736</v>
      </c>
      <c r="J1567" t="n">
        <v>974.6</v>
      </c>
      <c r="K1567">
        <f>IF(IFERROR(INDEX(Spots!$K$2:$K$96,MATCH(A1567,Spots!$A$2:$A$96,0)),"")="","",IFERROR(INDEX(Spots!$K$2:$K$96,MATCH(A1567,Spots!$A$2:$A$96,0)),""))</f>
        <v/>
      </c>
      <c r="L1567" s="3">
        <f>IF(OR(K1567="",F1567=""),"",F1567/1000*K1567*100)</f>
        <v/>
      </c>
      <c r="M1567">
        <f>IF(OR(L1567="",L1567=0),"",ROUND(100/L1567,0))</f>
        <v/>
      </c>
      <c r="N1567" t="inlineStr"/>
    </row>
    <row r="1568">
      <c r="A1568" t="n">
        <v>146</v>
      </c>
      <c r="B1568" t="inlineStr">
        <is>
          <t>[Dehkia] Thornwood Forest</t>
        </is>
      </c>
      <c r="C1568" t="inlineStr">
        <is>
          <t>Any Artifact</t>
        </is>
      </c>
      <c r="D1568" t="n">
        <v>0.17994577</v>
      </c>
      <c r="E1568" t="n">
        <v>8193.200000000001</v>
      </c>
      <c r="F1568" s="3" t="n">
        <v>0.02196281916711419</v>
      </c>
      <c r="G1568" t="n">
        <v>45531</v>
      </c>
      <c r="H1568" s="3" t="n">
        <v>0.02059836376316135</v>
      </c>
      <c r="I1568" s="3" t="n">
        <v>0.02339390112789288</v>
      </c>
      <c r="J1568" t="n">
        <v>964.4</v>
      </c>
      <c r="K1568">
        <f>IF(IFERROR(INDEX(Spots!$K$2:$K$96,MATCH(A1568,Spots!$A$2:$A$96,0)),"")="","",IFERROR(INDEX(Spots!$K$2:$K$96,MATCH(A1568,Spots!$A$2:$A$96,0)),""))</f>
        <v/>
      </c>
      <c r="L1568" s="3">
        <f>IF(OR(K1568="",F1568=""),"",F1568/1000*K1568*100)</f>
        <v/>
      </c>
      <c r="M1568">
        <f>IF(OR(L1568="",L1568=0),"",ROUND(100/L1568,0))</f>
        <v/>
      </c>
      <c r="N1568" t="inlineStr"/>
    </row>
    <row r="1569">
      <c r="A1569" t="n">
        <v>146</v>
      </c>
      <c r="B1569" t="inlineStr">
        <is>
          <t>[Dehkia] Thornwood Forest</t>
        </is>
      </c>
      <c r="C1569" t="inlineStr">
        <is>
          <t>Specter's Energy</t>
        </is>
      </c>
      <c r="D1569" t="n">
        <v>0.132079</v>
      </c>
      <c r="E1569" t="n">
        <v>8193.200000000001</v>
      </c>
      <c r="F1569" s="3" t="n">
        <v>0.01612056339403408</v>
      </c>
      <c r="G1569" t="n">
        <v>62033</v>
      </c>
      <c r="H1569" s="3" t="n">
        <v>0.0149547125682789</v>
      </c>
      <c r="I1569" s="3" t="n">
        <v>0.01735315907325453</v>
      </c>
      <c r="J1569" t="n">
        <v>707.9</v>
      </c>
      <c r="K1569">
        <f>IF(IFERROR(INDEX(Spots!$K$2:$K$96,MATCH(A1569,Spots!$A$2:$A$96,0)),"")="","",IFERROR(INDEX(Spots!$K$2:$K$96,MATCH(A1569,Spots!$A$2:$A$96,0)),""))</f>
        <v/>
      </c>
      <c r="L1569" s="3">
        <f>IF(OR(K1569="",F1569=""),"",F1569/1000*K1569*100)</f>
        <v/>
      </c>
      <c r="M1569">
        <f>IF(OR(L1569="",L1569=0),"",ROUND(100/L1569,0))</f>
        <v/>
      </c>
      <c r="N1569" t="inlineStr"/>
    </row>
    <row r="1570">
      <c r="A1570" t="n">
        <v>146</v>
      </c>
      <c r="B1570" t="inlineStr">
        <is>
          <t>[Dehkia] Thornwood Forest</t>
        </is>
      </c>
      <c r="C1570" t="inlineStr">
        <is>
          <t>Imperfect Lightstone of Earth</t>
        </is>
      </c>
      <c r="D1570" t="n">
        <v>0.06566001</v>
      </c>
      <c r="E1570" t="n">
        <v>8193.200000000001</v>
      </c>
      <c r="F1570" s="3" t="n">
        <v>0.008013964018942539</v>
      </c>
      <c r="G1570" t="n">
        <v>124782</v>
      </c>
      <c r="H1570" s="3" t="n">
        <v>0.007198407839503369</v>
      </c>
      <c r="I1570" s="3" t="n">
        <v>0.008896608705898682</v>
      </c>
      <c r="J1570" t="n">
        <v>351.9</v>
      </c>
      <c r="K1570">
        <f>IF(IFERROR(INDEX(Spots!$K$2:$K$96,MATCH(A1570,Spots!$A$2:$A$96,0)),"")="","",IFERROR(INDEX(Spots!$K$2:$K$96,MATCH(A1570,Spots!$A$2:$A$96,0)),""))</f>
        <v/>
      </c>
      <c r="L1570" s="3">
        <f>IF(OR(K1570="",F1570=""),"",F1570/1000*K1570*100)</f>
        <v/>
      </c>
      <c r="M1570">
        <f>IF(OR(L1570="",L1570=0),"",ROUND(100/L1570,0))</f>
        <v/>
      </c>
      <c r="N1570" t="inlineStr"/>
    </row>
    <row r="1571">
      <c r="A1571" t="n">
        <v>146</v>
      </c>
      <c r="B1571" t="inlineStr">
        <is>
          <t>[Dehkia] Thornwood Forest</t>
        </is>
      </c>
      <c r="C1571" t="inlineStr">
        <is>
          <t>Imperfect Lightstone of Wind</t>
        </is>
      </c>
      <c r="D1571" t="n">
        <v>0.04347314</v>
      </c>
      <c r="E1571" t="n">
        <v>8193.200000000001</v>
      </c>
      <c r="F1571" s="3" t="n">
        <v>0.005306002538690621</v>
      </c>
      <c r="G1571" t="n">
        <v>188466</v>
      </c>
      <c r="H1571" s="3" t="n">
        <v>0.00464648387894708</v>
      </c>
      <c r="I1571" s="3" t="n">
        <v>0.006032874677828793</v>
      </c>
      <c r="J1571" t="n">
        <v>233</v>
      </c>
      <c r="K1571">
        <f>IF(IFERROR(INDEX(Spots!$K$2:$K$96,MATCH(A1571,Spots!$A$2:$A$96,0)),"")="","",IFERROR(INDEX(Spots!$K$2:$K$96,MATCH(A1571,Spots!$A$2:$A$96,0)),""))</f>
        <v/>
      </c>
      <c r="L1571" s="3">
        <f>IF(OR(K1571="",F1571=""),"",F1571/1000*K1571*100)</f>
        <v/>
      </c>
      <c r="M1571">
        <f>IF(OR(L1571="",L1571=0),"",ROUND(100/L1571,0))</f>
        <v/>
      </c>
      <c r="N1571" t="inlineStr"/>
    </row>
    <row r="1572">
      <c r="A1572" t="n">
        <v>146</v>
      </c>
      <c r="B1572" t="inlineStr">
        <is>
          <t>[Dehkia] Thornwood Forest</t>
        </is>
      </c>
      <c r="C1572" t="inlineStr">
        <is>
          <t>Forgotten Limbo Box</t>
        </is>
      </c>
      <c r="D1572" t="n">
        <v>0.01770431</v>
      </c>
      <c r="E1572" t="n">
        <v>8193.200000000001</v>
      </c>
      <c r="F1572" s="3" t="n">
        <v>0.002160854122931211</v>
      </c>
      <c r="G1572" t="n">
        <v>462780</v>
      </c>
      <c r="H1572" s="3" t="n">
        <v>0.001747979170138194</v>
      </c>
      <c r="I1572" s="3" t="n">
        <v>0.002641878784238864</v>
      </c>
      <c r="J1572" t="n">
        <v>94.90000000000001</v>
      </c>
      <c r="K1572">
        <f>IF(IFERROR(INDEX(Spots!$K$2:$K$96,MATCH(A1572,Spots!$A$2:$A$96,0)),"")="","",IFERROR(INDEX(Spots!$K$2:$K$96,MATCH(A1572,Spots!$A$2:$A$96,0)),""))</f>
        <v/>
      </c>
      <c r="L1572" s="3">
        <f>IF(OR(K1572="",F1572=""),"",F1572/1000*K1572*100)</f>
        <v/>
      </c>
      <c r="M1572">
        <f>IF(OR(L1572="",L1572=0),"",ROUND(100/L1572,0))</f>
        <v/>
      </c>
      <c r="N1572" t="inlineStr"/>
    </row>
    <row r="1573">
      <c r="A1573" t="n">
        <v>146</v>
      </c>
      <c r="B1573" t="inlineStr">
        <is>
          <t>[Dehkia] Thornwood Forest</t>
        </is>
      </c>
      <c r="C1573" t="inlineStr">
        <is>
          <t>Quturan's Left Lung</t>
        </is>
      </c>
      <c r="D1573" t="n">
        <v>0.00392661</v>
      </c>
      <c r="E1573" t="n">
        <v>8193.200000000001</v>
      </c>
      <c r="F1573" s="3" t="n">
        <v>0.0004792523067909973</v>
      </c>
      <c r="G1573" t="n">
        <v>2086584</v>
      </c>
      <c r="H1573" s="3" t="n">
        <v>0.0002967209210762191</v>
      </c>
      <c r="I1573" s="3" t="n">
        <v>0.0007322997684474301</v>
      </c>
      <c r="J1573" t="n">
        <v>21</v>
      </c>
      <c r="K1573">
        <f>IF(IFERROR(INDEX(Spots!$K$2:$K$96,MATCH(A1573,Spots!$A$2:$A$96,0)),"")="","",IFERROR(INDEX(Spots!$K$2:$K$96,MATCH(A1573,Spots!$A$2:$A$96,0)),""))</f>
        <v/>
      </c>
      <c r="L1573" s="3">
        <f>IF(OR(K1573="",F1573=""),"",F1573/1000*K1573*100)</f>
        <v/>
      </c>
      <c r="M1573">
        <f>IF(OR(L1573="",L1573=0),"",ROUND(100/L1573,0))</f>
        <v/>
      </c>
      <c r="N1573" t="inlineStr">
        <is>
          <t>low sample</t>
        </is>
      </c>
    </row>
    <row r="1574">
      <c r="A1574" t="n">
        <v>145</v>
      </c>
      <c r="B1574" t="inlineStr">
        <is>
          <t>[Dehkia] Tunkuta</t>
        </is>
      </c>
      <c r="C1574" t="inlineStr">
        <is>
          <t>Broken Horn Fragment</t>
        </is>
      </c>
      <c r="D1574" t="n">
        <v>95.09099999999999</v>
      </c>
      <c r="E1574" t="n">
        <v>7208.9</v>
      </c>
      <c r="F1574" s="3" t="n">
        <v>13.19077806600175</v>
      </c>
      <c r="G1574" t="n">
        <v>76</v>
      </c>
      <c r="H1574" s="3" t="n">
        <v>13.05880822298668</v>
      </c>
      <c r="I1574" s="3" t="n">
        <v>13.32374935790498</v>
      </c>
      <c r="J1574" t="n">
        <v>38190.1</v>
      </c>
      <c r="K1574">
        <f>IF(IFERROR(INDEX(Spots!$K$2:$K$96,MATCH(A1574,Spots!$A$2:$A$96,0)),"")="","",IFERROR(INDEX(Spots!$K$2:$K$96,MATCH(A1574,Spots!$A$2:$A$96,0)),""))</f>
        <v/>
      </c>
      <c r="L1574" s="3">
        <f>IF(OR(K1574="",F1574=""),"",F1574/1000*K1574*100)</f>
        <v/>
      </c>
      <c r="M1574">
        <f>IF(OR(L1574="",L1574=0),"",ROUND(100/L1574,0))</f>
        <v/>
      </c>
      <c r="N1574" t="inlineStr"/>
    </row>
    <row r="1575">
      <c r="A1575" t="n">
        <v>145</v>
      </c>
      <c r="B1575" t="inlineStr">
        <is>
          <t>[Dehkia] Tunkuta</t>
        </is>
      </c>
      <c r="C1575" t="inlineStr">
        <is>
          <t>Black Stone</t>
        </is>
      </c>
      <c r="D1575" t="n">
        <v>55.32</v>
      </c>
      <c r="E1575" t="n">
        <v>7208.9</v>
      </c>
      <c r="F1575" s="3" t="n">
        <v>7.673847605043767</v>
      </c>
      <c r="G1575" t="n">
        <v>130</v>
      </c>
      <c r="H1575" s="3" t="n">
        <v>7.573267895251736</v>
      </c>
      <c r="I1575" s="3" t="n">
        <v>7.775429301160455</v>
      </c>
      <c r="J1575" t="n">
        <v>22217.4</v>
      </c>
      <c r="K1575">
        <f>IF(IFERROR(INDEX(Spots!$K$2:$K$96,MATCH(A1575,Spots!$A$2:$A$96,0)),"")="","",IFERROR(INDEX(Spots!$K$2:$K$96,MATCH(A1575,Spots!$A$2:$A$96,0)),""))</f>
        <v/>
      </c>
      <c r="L1575" s="3">
        <f>IF(OR(K1575="",F1575=""),"",F1575/1000*K1575*100)</f>
        <v/>
      </c>
      <c r="M1575">
        <f>IF(OR(L1575="",L1575=0),"",ROUND(100/L1575,0))</f>
        <v/>
      </c>
      <c r="N1575" t="inlineStr"/>
    </row>
    <row r="1576">
      <c r="A1576" t="n">
        <v>145</v>
      </c>
      <c r="B1576" t="inlineStr">
        <is>
          <t>[Dehkia] Tunkuta</t>
        </is>
      </c>
      <c r="C1576" t="inlineStr">
        <is>
          <t>Ancient Spirit Dust</t>
        </is>
      </c>
      <c r="D1576" t="n">
        <v>31.208</v>
      </c>
      <c r="E1576" t="n">
        <v>7208.9</v>
      </c>
      <c r="F1576" s="3" t="n">
        <v>4.329093204233656</v>
      </c>
      <c r="G1576" t="n">
        <v>231</v>
      </c>
      <c r="H1576" s="3" t="n">
        <v>4.253630449474225</v>
      </c>
      <c r="I1576" s="3" t="n">
        <v>4.405558695339897</v>
      </c>
      <c r="J1576" t="n">
        <v>12533.7</v>
      </c>
      <c r="K1576">
        <f>IF(IFERROR(INDEX(Spots!$K$2:$K$96,MATCH(A1576,Spots!$A$2:$A$96,0)),"")="","",IFERROR(INDEX(Spots!$K$2:$K$96,MATCH(A1576,Spots!$A$2:$A$96,0)),""))</f>
        <v/>
      </c>
      <c r="L1576" s="3">
        <f>IF(OR(K1576="",F1576=""),"",F1576/1000*K1576*100)</f>
        <v/>
      </c>
      <c r="M1576">
        <f>IF(OR(L1576="",L1576=0),"",ROUND(100/L1576,0))</f>
        <v/>
      </c>
      <c r="N1576" t="inlineStr"/>
    </row>
    <row r="1577">
      <c r="A1577" t="n">
        <v>145</v>
      </c>
      <c r="B1577" t="inlineStr">
        <is>
          <t>[Dehkia] Tunkuta</t>
        </is>
      </c>
      <c r="C1577" t="inlineStr">
        <is>
          <t>Caphras Stone</t>
        </is>
      </c>
      <c r="D1577" t="n">
        <v>11.634</v>
      </c>
      <c r="E1577" t="n">
        <v>7208.9</v>
      </c>
      <c r="F1577" s="3" t="n">
        <v>1.613838449694128</v>
      </c>
      <c r="G1577" t="n">
        <v>620</v>
      </c>
      <c r="H1577" s="3" t="n">
        <v>1.567891467824335</v>
      </c>
      <c r="I1577" s="3" t="n">
        <v>1.660790086472849</v>
      </c>
      <c r="J1577" t="n">
        <v>4672.4</v>
      </c>
      <c r="K1577">
        <f>IF(IFERROR(INDEX(Spots!$K$2:$K$96,MATCH(A1577,Spots!$A$2:$A$96,0)),"")="","",IFERROR(INDEX(Spots!$K$2:$K$96,MATCH(A1577,Spots!$A$2:$A$96,0)),""))</f>
        <v/>
      </c>
      <c r="L1577" s="3">
        <f>IF(OR(K1577="",F1577=""),"",F1577/1000*K1577*100)</f>
        <v/>
      </c>
      <c r="M1577">
        <f>IF(OR(L1577="",L1577=0),"",ROUND(100/L1577,0))</f>
        <v/>
      </c>
      <c r="N1577" t="inlineStr"/>
    </row>
    <row r="1578">
      <c r="A1578" t="n">
        <v>145</v>
      </c>
      <c r="B1578" t="inlineStr">
        <is>
          <t>[Dehkia] Tunkuta</t>
        </is>
      </c>
      <c r="C1578" t="inlineStr">
        <is>
          <t>Sealed Black Magic Crystal</t>
        </is>
      </c>
      <c r="D1578" t="n">
        <v>6.114383</v>
      </c>
      <c r="E1578" t="n">
        <v>7208.9</v>
      </c>
      <c r="F1578" s="3" t="n">
        <v>0.8481714269860867</v>
      </c>
      <c r="G1578" t="n">
        <v>1179</v>
      </c>
      <c r="H1578" s="3" t="n">
        <v>0.814952368361585</v>
      </c>
      <c r="I1578" s="3" t="n">
        <v>0.8823970049171965</v>
      </c>
      <c r="J1578" t="n">
        <v>2455.6</v>
      </c>
      <c r="K1578">
        <f>IF(IFERROR(INDEX(Spots!$K$2:$K$96,MATCH(A1578,Spots!$A$2:$A$96,0)),"")="","",IFERROR(INDEX(Spots!$K$2:$K$96,MATCH(A1578,Spots!$A$2:$A$96,0)),""))</f>
        <v/>
      </c>
      <c r="L1578" s="3">
        <f>IF(OR(K1578="",F1578=""),"",F1578/1000*K1578*100)</f>
        <v/>
      </c>
      <c r="M1578">
        <f>IF(OR(L1578="",L1578=0),"",ROUND(100/L1578,0))</f>
        <v/>
      </c>
      <c r="N1578" t="inlineStr"/>
    </row>
    <row r="1579">
      <c r="A1579" t="n">
        <v>145</v>
      </c>
      <c r="B1579" t="inlineStr">
        <is>
          <t>[Dehkia] Tunkuta</t>
        </is>
      </c>
      <c r="C1579" t="inlineStr">
        <is>
          <t>Venomous Night Fang</t>
        </is>
      </c>
      <c r="D1579" t="n">
        <v>3.434014</v>
      </c>
      <c r="E1579" t="n">
        <v>7208.9</v>
      </c>
      <c r="F1579" s="3" t="n">
        <v>0.4763575580185604</v>
      </c>
      <c r="G1579" t="n">
        <v>2099</v>
      </c>
      <c r="H1579" s="3" t="n">
        <v>0.4515451673203718</v>
      </c>
      <c r="I1579" s="3" t="n">
        <v>0.5021787282263929</v>
      </c>
      <c r="J1579" t="n">
        <v>1379.2</v>
      </c>
      <c r="K1579">
        <f>IF(IFERROR(INDEX(Spots!$K$2:$K$96,MATCH(A1579,Spots!$A$2:$A$96,0)),"")="","",IFERROR(INDEX(Spots!$K$2:$K$96,MATCH(A1579,Spots!$A$2:$A$96,0)),""))</f>
        <v/>
      </c>
      <c r="L1579" s="3">
        <f>IF(OR(K1579="",F1579=""),"",F1579/1000*K1579*100)</f>
        <v/>
      </c>
      <c r="M1579">
        <f>IF(OR(L1579="",L1579=0),"",ROUND(100/L1579,0))</f>
        <v/>
      </c>
      <c r="N1579" t="inlineStr"/>
    </row>
    <row r="1580">
      <c r="A1580" t="n">
        <v>145</v>
      </c>
      <c r="B1580" t="inlineStr">
        <is>
          <t>[Dehkia] Tunkuta</t>
        </is>
      </c>
      <c r="C1580" t="inlineStr">
        <is>
          <t>Embers of Despair</t>
        </is>
      </c>
      <c r="D1580" t="n">
        <v>3.080454</v>
      </c>
      <c r="E1580" t="n">
        <v>7208.9</v>
      </c>
      <c r="F1580" s="3" t="n">
        <v>0.4273126274466285</v>
      </c>
      <c r="G1580" t="n">
        <v>2340</v>
      </c>
      <c r="H1580" s="3" t="n">
        <v>0.4038296974941582</v>
      </c>
      <c r="I1580" s="3" t="n">
        <v>0.4518048395257349</v>
      </c>
      <c r="J1580" t="n">
        <v>1237.2</v>
      </c>
      <c r="K1580">
        <f>IF(IFERROR(INDEX(Spots!$K$2:$K$96,MATCH(A1580,Spots!$A$2:$A$96,0)),"")="","",IFERROR(INDEX(Spots!$K$2:$K$96,MATCH(A1580,Spots!$A$2:$A$96,0)),""))</f>
        <v/>
      </c>
      <c r="L1580" s="3">
        <f>IF(OR(K1580="",F1580=""),"",F1580/1000*K1580*100)</f>
        <v/>
      </c>
      <c r="M1580">
        <f>IF(OR(L1580="",L1580=0),"",ROUND(100/L1580,0))</f>
        <v/>
      </c>
      <c r="N1580" t="inlineStr"/>
    </row>
    <row r="1581">
      <c r="A1581" t="n">
        <v>145</v>
      </c>
      <c r="B1581" t="inlineStr">
        <is>
          <t>[Dehkia] Tunkuta</t>
        </is>
      </c>
      <c r="C1581" t="inlineStr">
        <is>
          <t>Turo Heart</t>
        </is>
      </c>
      <c r="D1581" t="n">
        <v>2.624116</v>
      </c>
      <c r="E1581" t="n">
        <v>7208.9</v>
      </c>
      <c r="F1581" s="3" t="n">
        <v>0.3640105980107922</v>
      </c>
      <c r="G1581" t="n">
        <v>2747</v>
      </c>
      <c r="H1581" s="3" t="n">
        <v>0.3423621726302892</v>
      </c>
      <c r="I1581" s="3" t="n">
        <v>0.3866690981945091</v>
      </c>
      <c r="J1581" t="n">
        <v>1053.9</v>
      </c>
      <c r="K1581">
        <f>IF(IFERROR(INDEX(Spots!$K$2:$K$96,MATCH(A1581,Spots!$A$2:$A$96,0)),"")="","",IFERROR(INDEX(Spots!$K$2:$K$96,MATCH(A1581,Spots!$A$2:$A$96,0)),""))</f>
        <v/>
      </c>
      <c r="L1581" s="3">
        <f>IF(OR(K1581="",F1581=""),"",F1581/1000*K1581*100)</f>
        <v/>
      </c>
      <c r="M1581">
        <f>IF(OR(L1581="",L1581=0),"",ROUND(100/L1581,0))</f>
        <v/>
      </c>
      <c r="N1581" t="inlineStr"/>
    </row>
    <row r="1582">
      <c r="A1582" t="n">
        <v>145</v>
      </c>
      <c r="B1582" t="inlineStr">
        <is>
          <t>[Dehkia] Tunkuta</t>
        </is>
      </c>
      <c r="C1582" t="inlineStr">
        <is>
          <t>Thick Turo Blood</t>
        </is>
      </c>
      <c r="D1582" t="n">
        <v>2.213606</v>
      </c>
      <c r="E1582" t="n">
        <v>7208.9</v>
      </c>
      <c r="F1582" s="3" t="n">
        <v>0.3070657104412601</v>
      </c>
      <c r="G1582" t="n">
        <v>3257</v>
      </c>
      <c r="H1582" s="3" t="n">
        <v>0.2872095233401816</v>
      </c>
      <c r="I1582" s="3" t="n">
        <v>0.3279328847929564</v>
      </c>
      <c r="J1582" t="n">
        <v>889</v>
      </c>
      <c r="K1582">
        <f>IF(IFERROR(INDEX(Spots!$K$2:$K$96,MATCH(A1582,Spots!$A$2:$A$96,0)),"")="","",IFERROR(INDEX(Spots!$K$2:$K$96,MATCH(A1582,Spots!$A$2:$A$96,0)),""))</f>
        <v/>
      </c>
      <c r="L1582" s="3">
        <f>IF(OR(K1582="",F1582=""),"",F1582/1000*K1582*100)</f>
        <v/>
      </c>
      <c r="M1582">
        <f>IF(OR(L1582="",L1582=0),"",ROUND(100/L1582,0))</f>
        <v/>
      </c>
      <c r="N1582" t="inlineStr"/>
    </row>
    <row r="1583">
      <c r="A1583" t="n">
        <v>145</v>
      </c>
      <c r="B1583" t="inlineStr">
        <is>
          <t>[Dehkia] Tunkuta</t>
        </is>
      </c>
      <c r="C1583" t="inlineStr">
        <is>
          <t>Void Tainted Whispers</t>
        </is>
      </c>
      <c r="D1583" t="n">
        <v>0.84311972</v>
      </c>
      <c r="E1583" t="n">
        <v>7208.9</v>
      </c>
      <c r="F1583" s="3" t="n">
        <v>0.1169553912524796</v>
      </c>
      <c r="G1583" t="n">
        <v>8550</v>
      </c>
      <c r="H1583" s="3" t="n">
        <v>0.1048280294172323</v>
      </c>
      <c r="I1583" s="3" t="n">
        <v>0.1301006429574713</v>
      </c>
      <c r="J1583" t="n">
        <v>338.6</v>
      </c>
      <c r="K1583">
        <f>IF(IFERROR(INDEX(Spots!$K$2:$K$96,MATCH(A1583,Spots!$A$2:$A$96,0)),"")="","",IFERROR(INDEX(Spots!$K$2:$K$96,MATCH(A1583,Spots!$A$2:$A$96,0)),""))</f>
        <v/>
      </c>
      <c r="L1583" s="3">
        <f>IF(OR(K1583="",F1583=""),"",F1583/1000*K1583*100)</f>
        <v/>
      </c>
      <c r="M1583">
        <f>IF(OR(L1583="",L1583=0),"",ROUND(100/L1583,0))</f>
        <v/>
      </c>
      <c r="N1583" t="inlineStr"/>
    </row>
    <row r="1584">
      <c r="A1584" t="n">
        <v>145</v>
      </c>
      <c r="B1584" t="inlineStr">
        <is>
          <t>[Dehkia] Tunkuta</t>
        </is>
      </c>
      <c r="C1584" t="inlineStr">
        <is>
          <t>Old Warrior's Horn Decoration</t>
        </is>
      </c>
      <c r="D1584" t="n">
        <v>0.6558932200000001</v>
      </c>
      <c r="E1584" t="n">
        <v>7208.9</v>
      </c>
      <c r="F1584" s="3" t="n">
        <v>0.0909838144515807</v>
      </c>
      <c r="G1584" t="n">
        <v>10991</v>
      </c>
      <c r="H1584" s="3" t="n">
        <v>0.08032669759157303</v>
      </c>
      <c r="I1584" s="3" t="n">
        <v>0.1026612166907006</v>
      </c>
      <c r="J1584" t="n">
        <v>263.4</v>
      </c>
      <c r="K1584">
        <f>IF(IFERROR(INDEX(Spots!$K$2:$K$96,MATCH(A1584,Spots!$A$2:$A$96,0)),"")="","",IFERROR(INDEX(Spots!$K$2:$K$96,MATCH(A1584,Spots!$A$2:$A$96,0)),""))</f>
        <v/>
      </c>
      <c r="L1584" s="3">
        <f>IF(OR(K1584="",F1584=""),"",F1584/1000*K1584*100)</f>
        <v/>
      </c>
      <c r="M1584">
        <f>IF(OR(L1584="",L1584=0),"",ROUND(100/L1584,0))</f>
        <v/>
      </c>
      <c r="N1584" t="inlineStr"/>
    </row>
    <row r="1585">
      <c r="A1585" t="n">
        <v>145</v>
      </c>
      <c r="B1585" t="inlineStr">
        <is>
          <t>[Dehkia] Tunkuta</t>
        </is>
      </c>
      <c r="C1585" t="inlineStr">
        <is>
          <t>Imperfect Lightstone of Earth</t>
        </is>
      </c>
      <c r="D1585" t="n">
        <v>0.48629571</v>
      </c>
      <c r="E1585" t="n">
        <v>7208.9</v>
      </c>
      <c r="F1585" s="3" t="n">
        <v>0.06745768563858563</v>
      </c>
      <c r="G1585" t="n">
        <v>14824</v>
      </c>
      <c r="H1585" s="3" t="n">
        <v>0.05832765183491168</v>
      </c>
      <c r="I1585" s="3" t="n">
        <v>0.07761126659794954</v>
      </c>
      <c r="J1585" t="n">
        <v>195.3</v>
      </c>
      <c r="K1585">
        <f>IF(IFERROR(INDEX(Spots!$K$2:$K$96,MATCH(A1585,Spots!$A$2:$A$96,0)),"")="","",IFERROR(INDEX(Spots!$K$2:$K$96,MATCH(A1585,Spots!$A$2:$A$96,0)),""))</f>
        <v/>
      </c>
      <c r="L1585" s="3">
        <f>IF(OR(K1585="",F1585=""),"",F1585/1000*K1585*100)</f>
        <v/>
      </c>
      <c r="M1585">
        <f>IF(OR(L1585="",L1585=0),"",ROUND(100/L1585,0))</f>
        <v/>
      </c>
      <c r="N1585" t="inlineStr"/>
    </row>
    <row r="1586">
      <c r="A1586" t="n">
        <v>145</v>
      </c>
      <c r="B1586" t="inlineStr">
        <is>
          <t>[Dehkia] Tunkuta</t>
        </is>
      </c>
      <c r="C1586" t="inlineStr">
        <is>
          <t>Quturan's Ashen Leaf</t>
        </is>
      </c>
      <c r="D1586" t="n">
        <v>0.45520111</v>
      </c>
      <c r="E1586" t="n">
        <v>7208.9</v>
      </c>
      <c r="F1586" s="3" t="n">
        <v>0.06314432298963782</v>
      </c>
      <c r="G1586" t="n">
        <v>15837</v>
      </c>
      <c r="H1586" s="3" t="n">
        <v>0.05432187498708259</v>
      </c>
      <c r="I1586" s="3" t="n">
        <v>0.0729911042487436</v>
      </c>
      <c r="J1586" t="n">
        <v>182.8</v>
      </c>
      <c r="K1586">
        <f>IF(IFERROR(INDEX(Spots!$K$2:$K$96,MATCH(A1586,Spots!$A$2:$A$96,0)),"")="","",IFERROR(INDEX(Spots!$K$2:$K$96,MATCH(A1586,Spots!$A$2:$A$96,0)),""))</f>
        <v/>
      </c>
      <c r="L1586" s="3">
        <f>IF(OR(K1586="",F1586=""),"",F1586/1000*K1586*100)</f>
        <v/>
      </c>
      <c r="M1586">
        <f>IF(OR(L1586="",L1586=0),"",ROUND(100/L1586,0))</f>
        <v/>
      </c>
      <c r="N1586" t="inlineStr"/>
    </row>
    <row r="1587">
      <c r="A1587" t="n">
        <v>145</v>
      </c>
      <c r="B1587" t="inlineStr">
        <is>
          <t>[Dehkia] Tunkuta</t>
        </is>
      </c>
      <c r="C1587" t="inlineStr">
        <is>
          <t>Turo's Belt</t>
        </is>
      </c>
      <c r="D1587" t="n">
        <v>0.25638598</v>
      </c>
      <c r="E1587" t="n">
        <v>7208.9</v>
      </c>
      <c r="F1587" s="3" t="n">
        <v>0.03556520134833331</v>
      </c>
      <c r="G1587" t="n">
        <v>28117</v>
      </c>
      <c r="H1587" s="3" t="n">
        <v>0.02902778322383581</v>
      </c>
      <c r="I1587" s="3" t="n">
        <v>0.04313493783950493</v>
      </c>
      <c r="J1587" t="n">
        <v>103</v>
      </c>
      <c r="K1587">
        <f>IF(IFERROR(INDEX(Spots!$K$2:$K$96,MATCH(A1587,Spots!$A$2:$A$96,0)),"")="","",IFERROR(INDEX(Spots!$K$2:$K$96,MATCH(A1587,Spots!$A$2:$A$96,0)),""))</f>
        <v/>
      </c>
      <c r="L1587" s="3">
        <f>IF(OR(K1587="",F1587=""),"",F1587/1000*K1587*100)</f>
        <v/>
      </c>
      <c r="M1587">
        <f>IF(OR(L1587="",L1587=0),"",ROUND(100/L1587,0))</f>
        <v/>
      </c>
      <c r="N1587" t="inlineStr"/>
    </row>
    <row r="1588">
      <c r="A1588" t="n">
        <v>145</v>
      </c>
      <c r="B1588" t="inlineStr">
        <is>
          <t>[Dehkia] Tunkuta</t>
        </is>
      </c>
      <c r="C1588" t="inlineStr">
        <is>
          <t>Any Artifact</t>
        </is>
      </c>
      <c r="D1588" t="n">
        <v>0.2069576</v>
      </c>
      <c r="E1588" t="n">
        <v>7208.9</v>
      </c>
      <c r="F1588" s="3" t="n">
        <v>0.02870862406192345</v>
      </c>
      <c r="G1588" t="n">
        <v>34833</v>
      </c>
      <c r="H1588" s="3" t="n">
        <v>0.02286932937927297</v>
      </c>
      <c r="I1588" s="3" t="n">
        <v>0.03558381978003442</v>
      </c>
      <c r="J1588" t="n">
        <v>83.09999999999999</v>
      </c>
      <c r="K1588">
        <f>IF(IFERROR(INDEX(Spots!$K$2:$K$96,MATCH(A1588,Spots!$A$2:$A$96,0)),"")="","",IFERROR(INDEX(Spots!$K$2:$K$96,MATCH(A1588,Spots!$A$2:$A$96,0)),""))</f>
        <v/>
      </c>
      <c r="L1588" s="3">
        <f>IF(OR(K1588="",F1588=""),"",F1588/1000*K1588*100)</f>
        <v/>
      </c>
      <c r="M1588">
        <f>IF(OR(L1588="",L1588=0),"",ROUND(100/L1588,0))</f>
        <v/>
      </c>
      <c r="N1588" t="inlineStr"/>
    </row>
    <row r="1589">
      <c r="A1589" t="n">
        <v>145</v>
      </c>
      <c r="B1589" t="inlineStr">
        <is>
          <t>[Dehkia] Tunkuta</t>
        </is>
      </c>
      <c r="C1589" t="inlineStr">
        <is>
          <t>Dehkia's Fragment</t>
        </is>
      </c>
      <c r="D1589" t="n">
        <v>0.19806548</v>
      </c>
      <c r="E1589" t="n">
        <v>7208.9</v>
      </c>
      <c r="F1589" s="3" t="n">
        <v>0.02747513212834136</v>
      </c>
      <c r="G1589" t="n">
        <v>36397</v>
      </c>
      <c r="H1589" s="3" t="n">
        <v>0.02176999605892135</v>
      </c>
      <c r="I1589" s="3" t="n">
        <v>0.03421694954391649</v>
      </c>
      <c r="J1589" t="n">
        <v>79.5</v>
      </c>
      <c r="K1589">
        <f>IF(IFERROR(INDEX(Spots!$K$2:$K$96,MATCH(A1589,Spots!$A$2:$A$96,0)),"")="","",IFERROR(INDEX(Spots!$K$2:$K$96,MATCH(A1589,Spots!$A$2:$A$96,0)),""))</f>
        <v/>
      </c>
      <c r="L1589" s="3">
        <f>IF(OR(K1589="",F1589=""),"",F1589/1000*K1589*100)</f>
        <v/>
      </c>
      <c r="M1589">
        <f>IF(OR(L1589="",L1589=0),"",ROUND(100/L1589,0))</f>
        <v/>
      </c>
      <c r="N1589" t="inlineStr"/>
    </row>
    <row r="1590">
      <c r="A1590" t="n">
        <v>145</v>
      </c>
      <c r="B1590" t="inlineStr">
        <is>
          <t>[Dehkia] Tunkuta</t>
        </is>
      </c>
      <c r="C1590" t="inlineStr">
        <is>
          <t>Imperfect Lightstone of Fire</t>
        </is>
      </c>
      <c r="D1590" t="n">
        <v>0.14247231</v>
      </c>
      <c r="E1590" t="n">
        <v>7208.9</v>
      </c>
      <c r="F1590" s="3" t="n">
        <v>0.01976339108601867</v>
      </c>
      <c r="G1590" t="n">
        <v>50599</v>
      </c>
      <c r="H1590" s="3" t="n">
        <v>0.01497614959285098</v>
      </c>
      <c r="I1590" s="3" t="n">
        <v>0.02559370678354631</v>
      </c>
      <c r="J1590" t="n">
        <v>57.2</v>
      </c>
      <c r="K1590">
        <f>IF(IFERROR(INDEX(Spots!$K$2:$K$96,MATCH(A1590,Spots!$A$2:$A$96,0)),"")="","",IFERROR(INDEX(Spots!$K$2:$K$96,MATCH(A1590,Spots!$A$2:$A$96,0)),""))</f>
        <v/>
      </c>
      <c r="L1590" s="3">
        <f>IF(OR(K1590="",F1590=""),"",F1590/1000*K1590*100)</f>
        <v/>
      </c>
      <c r="M1590">
        <f>IF(OR(L1590="",L1590=0),"",ROUND(100/L1590,0))</f>
        <v/>
      </c>
      <c r="N1590" t="inlineStr"/>
    </row>
    <row r="1591">
      <c r="A1591" t="n">
        <v>145</v>
      </c>
      <c r="B1591" t="inlineStr">
        <is>
          <t>[Dehkia] Tunkuta</t>
        </is>
      </c>
      <c r="C1591" t="inlineStr">
        <is>
          <t>Imperfect Lightstone of Wind</t>
        </is>
      </c>
      <c r="D1591" t="n">
        <v>0.07656132</v>
      </c>
      <c r="E1591" t="n">
        <v>7208.9</v>
      </c>
      <c r="F1591" s="3" t="n">
        <v>0.01062038868620733</v>
      </c>
      <c r="G1591" t="n">
        <v>94159</v>
      </c>
      <c r="H1591" s="3" t="n">
        <v>0.007202149366702463</v>
      </c>
      <c r="I1591" s="3" t="n">
        <v>0.01509672563051071</v>
      </c>
      <c r="J1591" t="n">
        <v>30.7</v>
      </c>
      <c r="K1591">
        <f>IF(IFERROR(INDEX(Spots!$K$2:$K$96,MATCH(A1591,Spots!$A$2:$A$96,0)),"")="","",IFERROR(INDEX(Spots!$K$2:$K$96,MATCH(A1591,Spots!$A$2:$A$96,0)),""))</f>
        <v/>
      </c>
      <c r="L1591" s="3">
        <f>IF(OR(K1591="",F1591=""),"",F1591/1000*K1591*100)</f>
        <v/>
      </c>
      <c r="M1591">
        <f>IF(OR(L1591="",L1591=0),"",ROUND(100/L1591,0))</f>
        <v/>
      </c>
      <c r="N1591" t="inlineStr"/>
    </row>
    <row r="1592">
      <c r="A1592" t="n">
        <v>145</v>
      </c>
      <c r="B1592" t="inlineStr">
        <is>
          <t>[Dehkia] Tunkuta</t>
        </is>
      </c>
      <c r="C1592" t="inlineStr">
        <is>
          <t>Quturan's Right Lung</t>
        </is>
      </c>
      <c r="D1592" t="n">
        <v>0.02106539</v>
      </c>
      <c r="E1592" t="n">
        <v>7208.9</v>
      </c>
      <c r="F1592" s="3" t="n">
        <v>0.00292213652568353</v>
      </c>
      <c r="G1592" t="n">
        <v>342215</v>
      </c>
      <c r="H1592" s="3" t="n">
        <v>0.001294168336130566</v>
      </c>
      <c r="I1592" s="3" t="n">
        <v>0.005655754878233348</v>
      </c>
      <c r="J1592" t="n">
        <v>8.5</v>
      </c>
      <c r="K1592">
        <f>IF(IFERROR(INDEX(Spots!$K$2:$K$96,MATCH(A1592,Spots!$A$2:$A$96,0)),"")="","",IFERROR(INDEX(Spots!$K$2:$K$96,MATCH(A1592,Spots!$A$2:$A$96,0)),""))</f>
        <v/>
      </c>
      <c r="L1592" s="3">
        <f>IF(OR(K1592="",F1592=""),"",F1592/1000*K1592*100)</f>
        <v/>
      </c>
      <c r="M1592">
        <f>IF(OR(L1592="",L1592=0),"",ROUND(100/L1592,0))</f>
        <v/>
      </c>
      <c r="N1592" t="inlineStr">
        <is>
          <t>low sample</t>
        </is>
      </c>
    </row>
    <row r="1593">
      <c r="A1593" t="n">
        <v>145</v>
      </c>
      <c r="B1593" t="inlineStr">
        <is>
          <t>[Dehkia] Tunkuta</t>
        </is>
      </c>
      <c r="C1593" t="inlineStr">
        <is>
          <t>Flame of Despair</t>
        </is>
      </c>
      <c r="D1593" t="n">
        <v>0.01926002</v>
      </c>
      <c r="E1593" t="n">
        <v>7208.9</v>
      </c>
      <c r="F1593" s="3" t="n">
        <v>0.002671700259401573</v>
      </c>
      <c r="G1593" t="n">
        <v>374293</v>
      </c>
      <c r="H1593" s="3" t="n">
        <v>0.00113040009114025</v>
      </c>
      <c r="I1593" s="3" t="n">
        <v>0.005322934566586199</v>
      </c>
      <c r="J1593" t="n">
        <v>7.7</v>
      </c>
      <c r="K1593">
        <f>IF(IFERROR(INDEX(Spots!$K$2:$K$96,MATCH(A1593,Spots!$A$2:$A$96,0)),"")="","",IFERROR(INDEX(Spots!$K$2:$K$96,MATCH(A1593,Spots!$A$2:$A$96,0)),""))</f>
        <v/>
      </c>
      <c r="L1593" s="3">
        <f>IF(OR(K1593="",F1593=""),"",F1593/1000*K1593*100)</f>
        <v/>
      </c>
      <c r="M1593">
        <f>IF(OR(L1593="",L1593=0),"",ROUND(100/L1593,0))</f>
        <v/>
      </c>
      <c r="N1593" t="inlineStr">
        <is>
          <t>low sample</t>
        </is>
      </c>
    </row>
    <row r="1594">
      <c r="A1594" t="n">
        <v>145</v>
      </c>
      <c r="B1594" t="inlineStr">
        <is>
          <t>[Dehkia] Tunkuta</t>
        </is>
      </c>
      <c r="C1594" t="inlineStr">
        <is>
          <t>Forgotten Limbo Box</t>
        </is>
      </c>
      <c r="D1594" t="n">
        <v>0.01526636</v>
      </c>
      <c r="E1594" t="n">
        <v>7208.9</v>
      </c>
      <c r="F1594" s="3" t="n">
        <v>0.002117710052851336</v>
      </c>
      <c r="G1594" t="n">
        <v>472208</v>
      </c>
      <c r="H1594" s="3" t="n">
        <v>0.000783945371539255</v>
      </c>
      <c r="I1594" s="3" t="n">
        <v>0.004573163811195325</v>
      </c>
      <c r="J1594" t="n">
        <v>6.1</v>
      </c>
      <c r="K1594">
        <f>IF(IFERROR(INDEX(Spots!$K$2:$K$96,MATCH(A1594,Spots!$A$2:$A$96,0)),"")="","",IFERROR(INDEX(Spots!$K$2:$K$96,MATCH(A1594,Spots!$A$2:$A$96,0)),""))</f>
        <v/>
      </c>
      <c r="L1594" s="3">
        <f>IF(OR(K1594="",F1594=""),"",F1594/1000*K1594*100)</f>
        <v/>
      </c>
      <c r="M1594">
        <f>IF(OR(L1594="",L1594=0),"",ROUND(100/L1594,0))</f>
        <v/>
      </c>
      <c r="N1594" t="inlineStr">
        <is>
          <t>low sample</t>
        </is>
      </c>
    </row>
    <row r="1595">
      <c r="A1595" t="n">
        <v>169</v>
      </c>
      <c r="B1595" t="inlineStr">
        <is>
          <t>[Elvia] Orzekea</t>
        </is>
      </c>
      <c r="C1595" t="inlineStr">
        <is>
          <t>Ancient Spirit Dust</t>
        </is>
      </c>
      <c r="D1595" t="n">
        <v>44.432</v>
      </c>
      <c r="E1595" t="n">
        <v>6829.8</v>
      </c>
      <c r="F1595" s="3" t="n">
        <v>6.505607777680167</v>
      </c>
      <c r="G1595" t="n">
        <v>154</v>
      </c>
      <c r="H1595" s="3" t="n">
        <v>6.465273853339497</v>
      </c>
      <c r="I1595" s="3" t="n">
        <v>6.546130891204633</v>
      </c>
      <c r="J1595" t="n">
        <v>99635.8</v>
      </c>
      <c r="K1595">
        <f>IF(IFERROR(INDEX(Spots!$K$2:$K$96,MATCH(A1595,Spots!$A$2:$A$96,0)),"")="","",IFERROR(INDEX(Spots!$K$2:$K$96,MATCH(A1595,Spots!$A$2:$A$96,0)),""))</f>
        <v/>
      </c>
      <c r="L1595" s="3">
        <f>IF(OR(K1595="",F1595=""),"",F1595/1000*K1595*100)</f>
        <v/>
      </c>
      <c r="M1595">
        <f>IF(OR(L1595="",L1595=0),"",ROUND(100/L1595,0))</f>
        <v/>
      </c>
      <c r="N1595" t="inlineStr"/>
    </row>
    <row r="1596">
      <c r="A1596" t="n">
        <v>169</v>
      </c>
      <c r="B1596" t="inlineStr">
        <is>
          <t>[Elvia] Orzekea</t>
        </is>
      </c>
      <c r="C1596" t="inlineStr">
        <is>
          <t>Black Stone</t>
        </is>
      </c>
      <c r="D1596" t="n">
        <v>28.684</v>
      </c>
      <c r="E1596" t="n">
        <v>6829.8</v>
      </c>
      <c r="F1596" s="3" t="n">
        <v>4.199830156080705</v>
      </c>
      <c r="G1596" t="n">
        <v>238</v>
      </c>
      <c r="H1596" s="3" t="n">
        <v>4.167435057900203</v>
      </c>
      <c r="I1596" s="3" t="n">
        <v>4.232414492952609</v>
      </c>
      <c r="J1596" t="n">
        <v>64322</v>
      </c>
      <c r="K1596">
        <f>IF(IFERROR(INDEX(Spots!$K$2:$K$96,MATCH(A1596,Spots!$A$2:$A$96,0)),"")="","",IFERROR(INDEX(Spots!$K$2:$K$96,MATCH(A1596,Spots!$A$2:$A$96,0)),""))</f>
        <v/>
      </c>
      <c r="L1596" s="3">
        <f>IF(OR(K1596="",F1596=""),"",F1596/1000*K1596*100)</f>
        <v/>
      </c>
      <c r="M1596">
        <f>IF(OR(L1596="",L1596=0),"",ROUND(100/L1596,0))</f>
        <v/>
      </c>
      <c r="N1596" t="inlineStr"/>
    </row>
    <row r="1597">
      <c r="A1597" t="n">
        <v>169</v>
      </c>
      <c r="B1597" t="inlineStr">
        <is>
          <t>[Elvia] Orzekea</t>
        </is>
      </c>
      <c r="C1597" t="inlineStr">
        <is>
          <t>Caphras Stone</t>
        </is>
      </c>
      <c r="D1597" t="n">
        <v>17.513</v>
      </c>
      <c r="E1597" t="n">
        <v>6829.8</v>
      </c>
      <c r="F1597" s="3" t="n">
        <v>2.564203929836891</v>
      </c>
      <c r="G1597" t="n">
        <v>390</v>
      </c>
      <c r="H1597" s="3" t="n">
        <v>2.538904698321676</v>
      </c>
      <c r="I1597" s="3" t="n">
        <v>2.589692470498421</v>
      </c>
      <c r="J1597" t="n">
        <v>39271.7</v>
      </c>
      <c r="K1597">
        <f>IF(IFERROR(INDEX(Spots!$K$2:$K$96,MATCH(A1597,Spots!$A$2:$A$96,0)),"")="","",IFERROR(INDEX(Spots!$K$2:$K$96,MATCH(A1597,Spots!$A$2:$A$96,0)),""))</f>
        <v/>
      </c>
      <c r="L1597" s="3">
        <f>IF(OR(K1597="",F1597=""),"",F1597/1000*K1597*100)</f>
        <v/>
      </c>
      <c r="M1597">
        <f>IF(OR(L1597="",L1597=0),"",ROUND(100/L1597,0))</f>
        <v/>
      </c>
      <c r="N1597" t="inlineStr"/>
    </row>
    <row r="1598">
      <c r="A1598" t="n">
        <v>169</v>
      </c>
      <c r="B1598" t="inlineStr">
        <is>
          <t>[Elvia] Orzekea</t>
        </is>
      </c>
      <c r="C1598" t="inlineStr">
        <is>
          <t>Sealed Black Magic Crystal</t>
        </is>
      </c>
      <c r="D1598" t="n">
        <v>9.260058000000001</v>
      </c>
      <c r="E1598" t="n">
        <v>6829.8</v>
      </c>
      <c r="F1598" s="3" t="n">
        <v>1.355831503118686</v>
      </c>
      <c r="G1598" t="n">
        <v>738</v>
      </c>
      <c r="H1598" s="3" t="n">
        <v>1.33745196577664</v>
      </c>
      <c r="I1598" s="3" t="n">
        <v>1.374400470450063</v>
      </c>
      <c r="J1598" t="n">
        <v>20765.1</v>
      </c>
      <c r="K1598">
        <f>IF(IFERROR(INDEX(Spots!$K$2:$K$96,MATCH(A1598,Spots!$A$2:$A$96,0)),"")="","",IFERROR(INDEX(Spots!$K$2:$K$96,MATCH(A1598,Spots!$A$2:$A$96,0)),""))</f>
        <v/>
      </c>
      <c r="L1598" s="3">
        <f>IF(OR(K1598="",F1598=""),"",F1598/1000*K1598*100)</f>
        <v/>
      </c>
      <c r="M1598">
        <f>IF(OR(L1598="",L1598=0),"",ROUND(100/L1598,0))</f>
        <v/>
      </c>
      <c r="N1598" t="inlineStr"/>
    </row>
    <row r="1599">
      <c r="A1599" t="n">
        <v>169</v>
      </c>
      <c r="B1599" t="inlineStr">
        <is>
          <t>[Elvia] Orzekea</t>
        </is>
      </c>
      <c r="C1599" t="inlineStr">
        <is>
          <t>Gem of Void</t>
        </is>
      </c>
      <c r="D1599" t="n">
        <v>4.729168</v>
      </c>
      <c r="E1599" t="n">
        <v>6829.8</v>
      </c>
      <c r="F1599" s="3" t="n">
        <v>0.6924314035550089</v>
      </c>
      <c r="G1599" t="n">
        <v>1444</v>
      </c>
      <c r="H1599" s="3" t="n">
        <v>0.6793144023849563</v>
      </c>
      <c r="I1599" s="3" t="n">
        <v>0.7057380113884002</v>
      </c>
      <c r="J1599" t="n">
        <v>10604.8</v>
      </c>
      <c r="K1599">
        <f>IF(IFERROR(INDEX(Spots!$K$2:$K$96,MATCH(A1599,Spots!$A$2:$A$96,0)),"")="","",IFERROR(INDEX(Spots!$K$2:$K$96,MATCH(A1599,Spots!$A$2:$A$96,0)),""))</f>
        <v/>
      </c>
      <c r="L1599" s="3">
        <f>IF(OR(K1599="",F1599=""),"",F1599/1000*K1599*100)</f>
        <v/>
      </c>
      <c r="M1599">
        <f>IF(OR(L1599="",L1599=0),"",ROUND(100/L1599,0))</f>
        <v/>
      </c>
      <c r="N1599" t="inlineStr"/>
    </row>
    <row r="1600">
      <c r="A1600" t="n">
        <v>169</v>
      </c>
      <c r="B1600" t="inlineStr">
        <is>
          <t>[Elvia] Orzekea</t>
        </is>
      </c>
      <c r="C1600" t="inlineStr">
        <is>
          <t>Deboreka Earring</t>
        </is>
      </c>
      <c r="D1600" t="n">
        <v>0.140793</v>
      </c>
      <c r="E1600" t="n">
        <v>6829.8</v>
      </c>
      <c r="F1600" s="3" t="n">
        <v>0.0206145128700694</v>
      </c>
      <c r="G1600" t="n">
        <v>48510</v>
      </c>
      <c r="H1600" s="3" t="n">
        <v>0.01840297376217657</v>
      </c>
      <c r="I1600" s="3" t="n">
        <v>0.02301859438800988</v>
      </c>
      <c r="J1600" t="n">
        <v>315.7</v>
      </c>
      <c r="K1600">
        <f>IF(IFERROR(INDEX(Spots!$K$2:$K$96,MATCH(A1600,Spots!$A$2:$A$96,0)),"")="","",IFERROR(INDEX(Spots!$K$2:$K$96,MATCH(A1600,Spots!$A$2:$A$96,0)),""))</f>
        <v/>
      </c>
      <c r="L1600" s="3">
        <f>IF(OR(K1600="",F1600=""),"",F1600/1000*K1600*100)</f>
        <v/>
      </c>
      <c r="M1600">
        <f>IF(OR(L1600="",L1600=0),"",ROUND(100/L1600,0))</f>
        <v/>
      </c>
      <c r="N1600" t="inlineStr"/>
    </row>
    <row r="1601">
      <c r="A1601" t="n">
        <v>169</v>
      </c>
      <c r="B1601" t="inlineStr">
        <is>
          <t>[Elvia] Orzekea</t>
        </is>
      </c>
      <c r="C1601" t="inlineStr">
        <is>
          <t>Deboreka Belt</t>
        </is>
      </c>
      <c r="D1601" t="n">
        <v>0.09792128999999999</v>
      </c>
      <c r="E1601" t="n">
        <v>6829.8</v>
      </c>
      <c r="F1601" s="3" t="n">
        <v>0.01433735834138628</v>
      </c>
      <c r="G1601" t="n">
        <v>69748</v>
      </c>
      <c r="H1601" s="3" t="n">
        <v>0.01250347671755265</v>
      </c>
      <c r="I1601" s="3" t="n">
        <v>0.01636447895115175</v>
      </c>
      <c r="J1601" t="n">
        <v>219.6</v>
      </c>
      <c r="K1601">
        <f>IF(IFERROR(INDEX(Spots!$K$2:$K$96,MATCH(A1601,Spots!$A$2:$A$96,0)),"")="","",IFERROR(INDEX(Spots!$K$2:$K$96,MATCH(A1601,Spots!$A$2:$A$96,0)),""))</f>
        <v/>
      </c>
      <c r="L1601" s="3">
        <f>IF(OR(K1601="",F1601=""),"",F1601/1000*K1601*100)</f>
        <v/>
      </c>
      <c r="M1601">
        <f>IF(OR(L1601="",L1601=0),"",ROUND(100/L1601,0))</f>
        <v/>
      </c>
      <c r="N1601" t="inlineStr"/>
    </row>
  </sheetData>
  <autoFilter ref="A1:N1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Garmoth collective grind data, 2025-10-09 to 2026-10-15.</t>
        </is>
      </c>
    </row>
    <row r="2">
      <c r="A2" t="inlineStr">
        <is>
          <t>All rates are base: 0% item drop rate, no loot scroll / Agris (Garmoth normalizes before storing).</t>
        </is>
      </c>
    </row>
    <row r="3">
      <c r="A3" t="inlineStr">
        <is>
          <t>per_1000_trash = item hourly_rate / trash hourly_rate * 1000. Independent of clear speed and buffs.</t>
        </is>
      </c>
    </row>
    <row r="4">
      <c r="A4" t="inlineStr">
        <is>
          <t>Trash per kill varies by spot, so per-kill chance needs Spots!K (yellow). Fill it in; Drops sheet updates.</t>
        </is>
      </c>
    </row>
    <row r="5">
      <c r="A5" t="inlineStr">
        <is>
          <t>chance_per_kill_% = per_1000_trash / 1000 * trash_per_kill * 100. With Item Drop Rate buff, multiply by (1 + DR%).</t>
        </is>
      </c>
    </row>
    <row r="6">
      <c r="A6" t="inlineStr">
        <is>
          <t>Items that drop in stacks: values are expected items, not drop events.</t>
        </is>
      </c>
    </row>
    <row r="7">
      <c r="A7" t="inlineStr">
        <is>
          <t>CI: 95% Poisson interval on estimated observed drops (base rate * hours). Real samples are larger (sessions were buffed), so intervals are conservative.</t>
        </is>
      </c>
    </row>
    <row r="8">
      <c r="A8" t="inlineStr">
        <is>
          <t>Flags: 'low sample' = spot under 50h or fewer than 30 estimated drops; 'no drops recorded' = rate 0, ci_high gives an upper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2026-10-11T04:29:28Z</dcterms:created>
  <dcterms:modified xmlns:dcterms="http://purl.org/dc/terms/" xmlns:xsi="http://www.w3.org/2001/XMLSchema-instance" xsi:type="dcterms:W3CDTF">2026-10-11T04:29:28Z</dcterms:modified>
</cp:coreProperties>
</file>